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B57B5DF-C9BC-4F2B-A0DD-C30A1AE30A7F}" xr6:coauthVersionLast="47" xr6:coauthVersionMax="47" xr10:uidLastSave="{00000000-0000-0000-0000-000000000000}"/>
  <bookViews>
    <workbookView xWindow="345" yWindow="1740" windowWidth="18075" windowHeight="9180" xr2:uid="{819146DE-8DF0-4A85-BAAB-DE141082834D}"/>
  </bookViews>
  <sheets>
    <sheet name="Dashboard" sheetId="4" r:id="rId1"/>
    <sheet name="DATA" sheetId="1" r:id="rId2"/>
  </sheets>
  <definedNames>
    <definedName name="_xlnm._FilterDatabase" localSheetId="1" hidden="1">DATA!$A$1:$K$91</definedName>
    <definedName name="_xlcn.WorksheetConnection_DATAA1F911" hidden="1">DATA!$A$1:$F$91</definedName>
    <definedName name="_xlnm.Print_Area" localSheetId="0">Dashboard!$A$1:$V$62</definedName>
  </definedNames>
  <calcPr calcId="191029" iterateDelta="1E-4"/>
  <extLst>
    <ext xmlns:x15="http://schemas.microsoft.com/office/spreadsheetml/2010/11/main" uri="{841E416B-1EF1-43b6-AB56-02D37102CBD5}">
      <x15:pivotCaches>
        <pivotCache cacheId="0" r:id="rId3"/>
      </x15:pivotCaches>
    </ext>
    <ext xmlns:x15="http://schemas.microsoft.com/office/spreadsheetml/2010/11/main" uri="{983426D0-5260-488c-9760-48F4B6AC55F4}">
      <x15:pivotTableReferences>
        <x15:pivotTableReference r:id="rId4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!$A$1:$F$9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4" l="1"/>
  <c r="B58" i="4"/>
  <c r="B57" i="4"/>
  <c r="C55" i="4"/>
  <c r="C54" i="4"/>
  <c r="B54" i="4"/>
  <c r="C53" i="4"/>
  <c r="B53" i="4"/>
  <c r="C52" i="4"/>
  <c r="B52" i="4"/>
  <c r="C51" i="4"/>
  <c r="B51" i="4"/>
  <c r="B62" i="4" l="1"/>
  <c r="C62" i="4" s="1"/>
  <c r="B55" i="4"/>
  <c r="B61" i="4"/>
  <c r="C6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EC8A3-5C5A-4724-B2BE-BE527046D58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58CD381-523F-42E0-A1F5-D3D7ECDD3A18}" name="WorksheetConnection_DATA!$A$1:$F$9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F911"/>
        </x15:connection>
      </ext>
    </extLst>
  </connection>
</connections>
</file>

<file path=xl/sharedStrings.xml><?xml version="1.0" encoding="utf-8"?>
<sst xmlns="http://schemas.openxmlformats.org/spreadsheetml/2006/main" count="307" uniqueCount="133">
  <si>
    <t>order_id</t>
  </si>
  <si>
    <t>date</t>
  </si>
  <si>
    <t>region</t>
  </si>
  <si>
    <t>product_category</t>
  </si>
  <si>
    <t>units_sold</t>
  </si>
  <si>
    <t>unit_price</t>
  </si>
  <si>
    <t>=INDEX({"North";"South";"West";"East"},RANDBETWEEN(1,4))</t>
  </si>
  <si>
    <t>=RANDBETWEEN(DATE(2006, 2,15), DATE(2019, 8, 19))</t>
  </si>
  <si>
    <t>North</t>
  </si>
  <si>
    <t>West</t>
  </si>
  <si>
    <t>East</t>
  </si>
  <si>
    <t>South</t>
  </si>
  <si>
    <t>=INDEX({"Electronics";"Apparel";"Home"},RANDBETWEEN(1,3))</t>
  </si>
  <si>
    <t>Electronics</t>
  </si>
  <si>
    <t>Apparel</t>
  </si>
  <si>
    <t>Home</t>
  </si>
  <si>
    <t>="ORD-"&amp;TEXT(RANDBETWEEN(1, 1999), "0000")</t>
  </si>
  <si>
    <t>ORD-1804</t>
  </si>
  <si>
    <t>ORD-0316</t>
  </si>
  <si>
    <t>ORD-1601</t>
  </si>
  <si>
    <t>ORD-1882</t>
  </si>
  <si>
    <t>ORD-1687</t>
  </si>
  <si>
    <t>ORD-1961</t>
  </si>
  <si>
    <t>ORD-1399</t>
  </si>
  <si>
    <t>ORD-1159</t>
  </si>
  <si>
    <t>ORD-1082</t>
  </si>
  <si>
    <t>ORD-0992</t>
  </si>
  <si>
    <t>ORD-0891</t>
  </si>
  <si>
    <t>ORD-0353</t>
  </si>
  <si>
    <t>ORD-1979</t>
  </si>
  <si>
    <t>ORD-0803</t>
  </si>
  <si>
    <t>ORD-0127</t>
  </si>
  <si>
    <t>ORD-0123</t>
  </si>
  <si>
    <t>ORD-1419</t>
  </si>
  <si>
    <t>ORD-0948</t>
  </si>
  <si>
    <t>ORD-1709</t>
  </si>
  <si>
    <t>ORD-0425</t>
  </si>
  <si>
    <t>ORD-0887</t>
  </si>
  <si>
    <t>ORD-1295</t>
  </si>
  <si>
    <t>ORD-1970</t>
  </si>
  <si>
    <t>ORD-0342</t>
  </si>
  <si>
    <t>ORD-1030</t>
  </si>
  <si>
    <t>ORD-1541</t>
  </si>
  <si>
    <t>ORD-1795</t>
  </si>
  <si>
    <t>ORD-0401</t>
  </si>
  <si>
    <t>ORD-1935</t>
  </si>
  <si>
    <t>ORD-1041</t>
  </si>
  <si>
    <t>ORD-0615</t>
  </si>
  <si>
    <t>ORD-1928</t>
  </si>
  <si>
    <t>ORD-0889</t>
  </si>
  <si>
    <t>ORD-1315</t>
  </si>
  <si>
    <t>ORD-0662</t>
  </si>
  <si>
    <t>ORD-0189</t>
  </si>
  <si>
    <t>ORD-0740</t>
  </si>
  <si>
    <t>ORD-1352</t>
  </si>
  <si>
    <t>ORD-0864</t>
  </si>
  <si>
    <t>ORD-0726</t>
  </si>
  <si>
    <t>ORD-1588</t>
  </si>
  <si>
    <t>ORD-1950</t>
  </si>
  <si>
    <t>ORD-0219</t>
  </si>
  <si>
    <t>ORD-1279</t>
  </si>
  <si>
    <t>ORD-1441</t>
  </si>
  <si>
    <t>ORD-0518</t>
  </si>
  <si>
    <t>ORD-0824</t>
  </si>
  <si>
    <t>ORD-0439</t>
  </si>
  <si>
    <t>ORD-0176</t>
  </si>
  <si>
    <t>ORD-0344</t>
  </si>
  <si>
    <t>ORD-0305</t>
  </si>
  <si>
    <t>ORD-0379</t>
  </si>
  <si>
    <t>ORD-0959</t>
  </si>
  <si>
    <t>ORD-1666</t>
  </si>
  <si>
    <t>ORD-0758</t>
  </si>
  <si>
    <t>ORD-0355</t>
  </si>
  <si>
    <t>ORD-0524</t>
  </si>
  <si>
    <t>ORD-1757</t>
  </si>
  <si>
    <t>ORD-1692</t>
  </si>
  <si>
    <t>ORD-1589</t>
  </si>
  <si>
    <t>ORD-0544</t>
  </si>
  <si>
    <t>ORD-0736</t>
  </si>
  <si>
    <t>ORD-0561</t>
  </si>
  <si>
    <t>ORD-1043</t>
  </si>
  <si>
    <t>ORD-1664</t>
  </si>
  <si>
    <t>ORD-0498</t>
  </si>
  <si>
    <t>ORD-1452</t>
  </si>
  <si>
    <t>ORD-0253</t>
  </si>
  <si>
    <t>ORD-0569</t>
  </si>
  <si>
    <t>ORD-0183</t>
  </si>
  <si>
    <t>ORD-1106</t>
  </si>
  <si>
    <t>ORD-0254</t>
  </si>
  <si>
    <t>ORD-1507</t>
  </si>
  <si>
    <t>ORD-0823</t>
  </si>
  <si>
    <t>ORD-1599</t>
  </si>
  <si>
    <t>ORD-0285</t>
  </si>
  <si>
    <t>ORD-1006</t>
  </si>
  <si>
    <t>ORD-0165</t>
  </si>
  <si>
    <t>ORD-1302</t>
  </si>
  <si>
    <t>ORD-0975</t>
  </si>
  <si>
    <t>ORD-0306</t>
  </si>
  <si>
    <t>ORD-1580</t>
  </si>
  <si>
    <t>ORD-0015</t>
  </si>
  <si>
    <t>ORD-0181</t>
  </si>
  <si>
    <t>ORD-0645</t>
  </si>
  <si>
    <t>ORD-0990</t>
  </si>
  <si>
    <t>ORD-1697</t>
  </si>
  <si>
    <t>ORD-0244</t>
  </si>
  <si>
    <t>ORD-0151</t>
  </si>
  <si>
    <t>Picked random regions with formula to have input data</t>
  </si>
  <si>
    <t>picked random dates</t>
  </si>
  <si>
    <t>picked random products between 3 given product</t>
  </si>
  <si>
    <t>SUMMARY:</t>
  </si>
  <si>
    <t>EAST</t>
  </si>
  <si>
    <t>SOUTH</t>
  </si>
  <si>
    <t>WEST</t>
  </si>
  <si>
    <t>NORTH</t>
  </si>
  <si>
    <t>AVERAGE PER ORDER</t>
  </si>
  <si>
    <t>MAXIMUM SINGLE ORDER</t>
  </si>
  <si>
    <t>MINIMUM SINGLE ORDER</t>
  </si>
  <si>
    <t>Revenue</t>
  </si>
  <si>
    <t>number of orders</t>
  </si>
  <si>
    <t>Highest Revnue Generated by:</t>
  </si>
  <si>
    <t>Highest Orders Received by:</t>
  </si>
  <si>
    <t>TOTAL</t>
  </si>
  <si>
    <t>Region</t>
  </si>
  <si>
    <t>=INDEX(A44:A47, MATCH(MAX(B44:B47), B44:B47, 0))</t>
  </si>
  <si>
    <t>picked high revenued region name</t>
  </si>
  <si>
    <t>Date column is validated with =TODAY()</t>
  </si>
  <si>
    <t>Region and product_category is validated with text only.</t>
  </si>
  <si>
    <t>units_solds is validated with whole numbers only</t>
  </si>
  <si>
    <t>unit_price is validated with decimal numbers only</t>
  </si>
  <si>
    <t>Data Generated with below formulas (not a real data)</t>
  </si>
  <si>
    <t>picked random order numbers (contains TEXT and Digit both)</t>
  </si>
  <si>
    <t>Validation:</t>
  </si>
  <si>
    <t>Dashboard KPIs are linked with relevant cells to keep getting updated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</si>
</sst>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8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8" fontId="1" fillId="0" borderId="0" xfId="0" applyNumberFormat="1" applyFont="1"/>
    <xf numFmtId="1" fontId="0" fillId="0" borderId="0" xfId="0" applyNumberFormat="1"/>
    <xf numFmtId="0" fontId="1" fillId="0" borderId="0" xfId="0" applyFont="1" applyProtection="1">
      <protection locked="0"/>
    </xf>
    <xf numFmtId="1" fontId="1" fillId="0" borderId="0" xfId="0" applyNumberFormat="1" applyFont="1"/>
    <xf numFmtId="8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0" fontId="3" fillId="0" borderId="0" xfId="0" applyFont="1" applyProtection="1">
      <protection locked="0"/>
    </xf>
    <xf numFmtId="0" fontId="2" fillId="0" borderId="1" xfId="0" applyFont="1" applyBorder="1" applyAlignment="1">
      <alignment horizontal="center"/>
    </xf>
    <xf numFmtId="0" fontId="0" fillId="0" borderId="1" xfId="0" applyBorder="1"/>
    <xf numFmtId="8" fontId="0" fillId="0" borderId="1" xfId="0" applyNumberFormat="1" applyBorder="1"/>
    <xf numFmtId="0" fontId="1" fillId="0" borderId="1" xfId="0" applyFont="1" applyBorder="1"/>
    <xf numFmtId="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pivotTable" Target="pivotTables/pivotTabl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"/>
              <c:y val="-7.8670949760344128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7.4840965893970034E-3"/>
              <c:y val="-9.5736305060057699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  <c:spPr>
          <a:solidFill>
            <a:srgbClr val="00206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6">
              <a:lumMod val="7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604917723260023E-2"/>
          <c:y val="3.8945195553704841E-2"/>
          <c:w val="0.80541867450638549"/>
          <c:h val="0.72249595919154175"/>
        </c:manualLayout>
      </c:layout>
      <c:barChart>
        <c:barDir val="col"/>
        <c:grouping val="clustered"/>
        <c:varyColors val="0"/>
        <c:ser>
          <c:idx val="0"/>
          <c:order val="0"/>
          <c:tx>
            <c:v>units_sold</c:v>
          </c:tx>
          <c:spPr>
            <a:solidFill>
              <a:srgbClr val="00206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East
Apparel</c:v>
              </c:pt>
              <c:pt idx="1">
                <c:v>North
Apparel</c:v>
              </c:pt>
              <c:pt idx="2">
                <c:v>South
Apparel</c:v>
              </c:pt>
              <c:pt idx="3">
                <c:v>West
Apparel</c:v>
              </c:pt>
              <c:pt idx="4">
                <c:v>East
Electronics</c:v>
              </c:pt>
              <c:pt idx="5">
                <c:v>North
Electronics</c:v>
              </c:pt>
              <c:pt idx="6">
                <c:v>South
Electronics</c:v>
              </c:pt>
              <c:pt idx="7">
                <c:v>West
Electronics</c:v>
              </c:pt>
              <c:pt idx="8">
                <c:v>East
Home</c:v>
              </c:pt>
              <c:pt idx="9">
                <c:v>North
Home</c:v>
              </c:pt>
              <c:pt idx="10">
                <c:v>South
Home</c:v>
              </c:pt>
              <c:pt idx="11">
                <c:v>West
Home</c:v>
              </c:pt>
            </c:strLit>
          </c:cat>
          <c:val>
            <c:numLit>
              <c:formatCode>General</c:formatCode>
              <c:ptCount val="12"/>
              <c:pt idx="0">
                <c:v>572</c:v>
              </c:pt>
              <c:pt idx="1">
                <c:v>473</c:v>
              </c:pt>
              <c:pt idx="2">
                <c:v>434</c:v>
              </c:pt>
              <c:pt idx="3">
                <c:v>355</c:v>
              </c:pt>
              <c:pt idx="4">
                <c:v>464</c:v>
              </c:pt>
              <c:pt idx="5">
                <c:v>340</c:v>
              </c:pt>
              <c:pt idx="6">
                <c:v>592</c:v>
              </c:pt>
              <c:pt idx="7">
                <c:v>185</c:v>
              </c:pt>
              <c:pt idx="8">
                <c:v>396</c:v>
              </c:pt>
              <c:pt idx="9">
                <c:v>254</c:v>
              </c:pt>
              <c:pt idx="10">
                <c:v>452</c:v>
              </c:pt>
              <c:pt idx="11">
                <c:v>377</c:v>
              </c:pt>
            </c:numLit>
          </c:val>
          <c:extLst>
            <c:ext xmlns:c16="http://schemas.microsoft.com/office/drawing/2014/chart" uri="{C3380CC4-5D6E-409C-BE32-E72D297353CC}">
              <c16:uniqueId val="{00000000-7039-4804-B152-F87B6D985C87}"/>
            </c:ext>
          </c:extLst>
        </c:ser>
        <c:ser>
          <c:idx val="1"/>
          <c:order val="1"/>
          <c:tx>
            <c:v>Revenue (units x price)</c:v>
          </c:tx>
          <c:spPr>
            <a:solidFill>
              <a:schemeClr val="accent6">
                <a:lumMod val="7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East
Apparel</c:v>
              </c:pt>
              <c:pt idx="1">
                <c:v>North
Apparel</c:v>
              </c:pt>
              <c:pt idx="2">
                <c:v>South
Apparel</c:v>
              </c:pt>
              <c:pt idx="3">
                <c:v>West
Apparel</c:v>
              </c:pt>
              <c:pt idx="4">
                <c:v>East
Electronics</c:v>
              </c:pt>
              <c:pt idx="5">
                <c:v>North
Electronics</c:v>
              </c:pt>
              <c:pt idx="6">
                <c:v>South
Electronics</c:v>
              </c:pt>
              <c:pt idx="7">
                <c:v>West
Electronics</c:v>
              </c:pt>
              <c:pt idx="8">
                <c:v>East
Home</c:v>
              </c:pt>
              <c:pt idx="9">
                <c:v>North
Home</c:v>
              </c:pt>
              <c:pt idx="10">
                <c:v>South
Home</c:v>
              </c:pt>
              <c:pt idx="11">
                <c:v>West
Home</c:v>
              </c:pt>
            </c:strLit>
          </c:cat>
          <c:val>
            <c:numLit>
              <c:formatCode>General</c:formatCode>
              <c:ptCount val="12"/>
              <c:pt idx="0">
                <c:v>162</c:v>
              </c:pt>
              <c:pt idx="1">
                <c:v>144</c:v>
              </c:pt>
              <c:pt idx="2">
                <c:v>108</c:v>
              </c:pt>
              <c:pt idx="3">
                <c:v>144</c:v>
              </c:pt>
              <c:pt idx="4">
                <c:v>120</c:v>
              </c:pt>
              <c:pt idx="5">
                <c:v>90</c:v>
              </c:pt>
              <c:pt idx="6">
                <c:v>135</c:v>
              </c:pt>
              <c:pt idx="7">
                <c:v>75</c:v>
              </c:pt>
              <c:pt idx="8">
                <c:v>176</c:v>
              </c:pt>
              <c:pt idx="9">
                <c:v>132</c:v>
              </c:pt>
              <c:pt idx="10">
                <c:v>198</c:v>
              </c:pt>
              <c:pt idx="11">
                <c:v>176</c:v>
              </c:pt>
            </c:numLit>
          </c:val>
          <c:extLst>
            <c:ext xmlns:c16="http://schemas.microsoft.com/office/drawing/2014/chart" uri="{C3380CC4-5D6E-409C-BE32-E72D297353CC}">
              <c16:uniqueId val="{00000038-759D-47C4-9597-DFDFDEC699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18921880"/>
        <c:axId val="818926104"/>
      </c:barChart>
      <c:catAx>
        <c:axId val="818921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solidFill>
                    <a:schemeClr val="tx1"/>
                  </a:solidFill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610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189261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81892188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156253086453217"/>
          <c:y val="0.20272387787833759"/>
          <c:w val="0.12843748691720616"/>
          <c:h val="0.1412080105992427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[Sales_Dashboard.xlsx]PivotChartTable1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Dashboard!$B$50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explosion val="13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13-4839-A7C9-2D4F03D015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13-4839-A7C9-2D4F03D015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13-4839-A7C9-2D4F03D015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13-4839-A7C9-2D4F03D0151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Dashboard!$A$51:$B$54</c:f>
              <c:multiLvlStrCache>
                <c:ptCount val="4"/>
                <c:lvl>
                  <c:pt idx="0">
                    <c:v>£458.00</c:v>
                  </c:pt>
                  <c:pt idx="1">
                    <c:v>£441.00</c:v>
                  </c:pt>
                  <c:pt idx="2">
                    <c:v>£395.00</c:v>
                  </c:pt>
                  <c:pt idx="3">
                    <c:v>£366.00</c:v>
                  </c:pt>
                </c:lvl>
                <c:lvl>
                  <c:pt idx="0">
                    <c:v>EAST</c:v>
                  </c:pt>
                  <c:pt idx="1">
                    <c:v>SOUTH</c:v>
                  </c:pt>
                  <c:pt idx="2">
                    <c:v>WEST</c:v>
                  </c:pt>
                  <c:pt idx="3">
                    <c:v>NORTH</c:v>
                  </c:pt>
                </c:lvl>
              </c:multiLvlStrCache>
            </c:multiLvlStrRef>
          </c:cat>
          <c:val>
            <c:numRef>
              <c:f>Dashboard!$B$51:$B$54</c:f>
              <c:numCache>
                <c:formatCode>"£"#,##0.00_);[Red]\("£"#,##0.00\)</c:formatCode>
                <c:ptCount val="4"/>
                <c:pt idx="0">
                  <c:v>458</c:v>
                </c:pt>
                <c:pt idx="1">
                  <c:v>441</c:v>
                </c:pt>
                <c:pt idx="2">
                  <c:v>395</c:v>
                </c:pt>
                <c:pt idx="3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6-4617-B451-8710752939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Dashboard!$B$50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0869562438910767E-3"/>
                  <c:y val="-5.211140629838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A2-4F7F-9178-506485ADD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Dashboard!$A$51:$A$54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Dashboard!$B$51:$B$54</c:f>
              <c:numCache>
                <c:formatCode>"£"#,##0.00_);[Red]\("£"#,##0.00\)</c:formatCode>
                <c:ptCount val="4"/>
                <c:pt idx="0">
                  <c:v>458</c:v>
                </c:pt>
                <c:pt idx="1">
                  <c:v>441</c:v>
                </c:pt>
                <c:pt idx="2">
                  <c:v>395</c:v>
                </c:pt>
                <c:pt idx="3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D-4D94-8E4B-813C1693BE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2283088"/>
        <c:axId val="442286960"/>
      </c:barChart>
      <c:catAx>
        <c:axId val="44228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86960"/>
        <c:crosses val="autoZero"/>
        <c:auto val="1"/>
        <c:lblAlgn val="ctr"/>
        <c:lblOffset val="100"/>
        <c:noMultiLvlLbl val="0"/>
      </c:catAx>
      <c:valAx>
        <c:axId val="44228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_);[Red]\(&quot;£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8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number of orders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698743477265309E-2"/>
          <c:y val="0.15265976169459181"/>
          <c:w val="0.92453582557908887"/>
          <c:h val="0.7158604678661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Dashboard!$C$50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Dashboard!$A$51:$A$54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Dashboard!$C$51:$C$54</c:f>
              <c:numCache>
                <c:formatCode>General</c:formatCode>
                <c:ptCount val="4"/>
                <c:pt idx="0">
                  <c:v>25</c:v>
                </c:pt>
                <c:pt idx="1">
                  <c:v>24</c:v>
                </c:pt>
                <c:pt idx="2">
                  <c:v>21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0-4472-84F1-AC3C265ED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979752"/>
        <c:axId val="574977288"/>
      </c:barChart>
      <c:catAx>
        <c:axId val="574979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15875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977288"/>
        <c:crosses val="autoZero"/>
        <c:auto val="0"/>
        <c:lblAlgn val="ctr"/>
        <c:lblOffset val="100"/>
        <c:noMultiLvlLbl val="0"/>
      </c:catAx>
      <c:valAx>
        <c:axId val="57497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9797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166303</xdr:rowOff>
    </xdr:from>
    <xdr:to>
      <xdr:col>13</xdr:col>
      <xdr:colOff>232834</xdr:colOff>
      <xdr:row>46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20F10-6732-51E0-CAA5-6FF90764D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222250</xdr:colOff>
      <xdr:row>23</xdr:row>
      <xdr:rowOff>143844</xdr:rowOff>
    </xdr:from>
    <xdr:to>
      <xdr:col>19</xdr:col>
      <xdr:colOff>523875</xdr:colOff>
      <xdr:row>46</xdr:row>
      <xdr:rowOff>122464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0A7461-EC0F-C420-8D7A-9892C73C7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21181</xdr:colOff>
      <xdr:row>0</xdr:row>
      <xdr:rowOff>0</xdr:rowOff>
    </xdr:from>
    <xdr:to>
      <xdr:col>4</xdr:col>
      <xdr:colOff>571500</xdr:colOff>
      <xdr:row>8</xdr:row>
      <xdr:rowOff>74112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E718A82-96C2-CB16-81D0-FB9877796FD0}"/>
            </a:ext>
          </a:extLst>
        </xdr:cNvPr>
        <xdr:cNvGrpSpPr/>
      </xdr:nvGrpSpPr>
      <xdr:grpSpPr>
        <a:xfrm>
          <a:off x="21181" y="0"/>
          <a:ext cx="2999605" cy="1598112"/>
          <a:chOff x="3079755" y="11325647"/>
          <a:chExt cx="2465174" cy="1226186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DE8DED0-1A36-2105-5B4D-BB8EC2B17ACF}"/>
              </a:ext>
            </a:extLst>
          </xdr:cNvPr>
          <xdr:cNvSpPr/>
        </xdr:nvSpPr>
        <xdr:spPr>
          <a:xfrm>
            <a:off x="3079755" y="11325647"/>
            <a:ext cx="2465174" cy="1226186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9E79522-A122-DE7D-F4B5-7A4602FC2AB4}"/>
              </a:ext>
            </a:extLst>
          </xdr:cNvPr>
          <xdr:cNvSpPr txBox="1"/>
        </xdr:nvSpPr>
        <xdr:spPr>
          <a:xfrm>
            <a:off x="3312583" y="11430051"/>
            <a:ext cx="1979084" cy="31321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400" b="1">
                <a:solidFill>
                  <a:schemeClr val="dk1"/>
                </a:solidFill>
                <a:latin typeface="Book Antiqua" panose="02040602050305030304" pitchFamily="18" charset="0"/>
                <a:ea typeface="+mn-ea"/>
                <a:cs typeface="+mn-cs"/>
              </a:rPr>
              <a:t>Highest Revenu - Region</a:t>
            </a:r>
          </a:p>
          <a:p>
            <a:pPr algn="ctr"/>
            <a:endParaRPr lang="en-GB" sz="1100"/>
          </a:p>
        </xdr:txBody>
      </xdr:sp>
      <xdr:sp macro="" textlink="$C$61">
        <xdr:nvSpPr>
          <xdr:cNvPr id="10" name="TextBox 9">
            <a:extLst>
              <a:ext uri="{FF2B5EF4-FFF2-40B4-BE49-F238E27FC236}">
                <a16:creationId xmlns:a16="http://schemas.microsoft.com/office/drawing/2014/main" id="{5659EF66-D7BF-E60F-6460-AAEE897BFF49}"/>
              </a:ext>
            </a:extLst>
          </xdr:cNvPr>
          <xdr:cNvSpPr txBox="1"/>
        </xdr:nvSpPr>
        <xdr:spPr>
          <a:xfrm>
            <a:off x="4258907" y="11920748"/>
            <a:ext cx="1163010" cy="42805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E7E95AF-9843-450C-90DC-0AAF5AFBF289}" type="TxLink">
              <a:rPr lang="en-US" sz="2800" b="1" i="0" u="none" strike="noStrike">
                <a:solidFill>
                  <a:schemeClr val="tx1"/>
                </a:solidFill>
                <a:latin typeface="Aptos Narrow"/>
              </a:rPr>
              <a:pPr algn="ctr"/>
              <a:t>£458.00</a:t>
            </a:fld>
            <a:endParaRPr lang="en-GB" sz="28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</xdr:col>
      <xdr:colOff>576795</xdr:colOff>
      <xdr:row>0</xdr:row>
      <xdr:rowOff>0</xdr:rowOff>
    </xdr:from>
    <xdr:to>
      <xdr:col>10</xdr:col>
      <xdr:colOff>127000</xdr:colOff>
      <xdr:row>8</xdr:row>
      <xdr:rowOff>74083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D9CCB30-B3CB-FCFD-FA6E-F88EF6B9B8A9}"/>
            </a:ext>
          </a:extLst>
        </xdr:cNvPr>
        <xdr:cNvGrpSpPr/>
      </xdr:nvGrpSpPr>
      <xdr:grpSpPr>
        <a:xfrm>
          <a:off x="3026081" y="0"/>
          <a:ext cx="3224133" cy="1598083"/>
          <a:chOff x="3407833" y="560917"/>
          <a:chExt cx="3270250" cy="1598083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1D0B483-40FB-6F48-706C-F56C5AC8CAED}"/>
              </a:ext>
            </a:extLst>
          </xdr:cNvPr>
          <xdr:cNvSpPr/>
        </xdr:nvSpPr>
        <xdr:spPr>
          <a:xfrm>
            <a:off x="3407833" y="560917"/>
            <a:ext cx="3270250" cy="1598083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D195D87-187F-1340-03C3-A39383D58A58}"/>
              </a:ext>
            </a:extLst>
          </xdr:cNvPr>
          <xdr:cNvSpPr txBox="1"/>
        </xdr:nvSpPr>
        <xdr:spPr>
          <a:xfrm>
            <a:off x="3725333" y="672796"/>
            <a:ext cx="2698750" cy="44601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400" b="1">
                <a:latin typeface="Book Antiqua" panose="02040602050305030304" pitchFamily="18" charset="0"/>
              </a:rPr>
              <a:t>Maximum Orders - Region</a:t>
            </a:r>
          </a:p>
        </xdr:txBody>
      </xdr:sp>
      <xdr:sp macro="" textlink="$B$62">
        <xdr:nvSpPr>
          <xdr:cNvPr id="14" name="TextBox 13">
            <a:extLst>
              <a:ext uri="{FF2B5EF4-FFF2-40B4-BE49-F238E27FC236}">
                <a16:creationId xmlns:a16="http://schemas.microsoft.com/office/drawing/2014/main" id="{4F2D9422-46AA-38F5-FFDD-62CB26760C6E}"/>
              </a:ext>
            </a:extLst>
          </xdr:cNvPr>
          <xdr:cNvSpPr txBox="1"/>
        </xdr:nvSpPr>
        <xdr:spPr>
          <a:xfrm>
            <a:off x="3683000" y="1336524"/>
            <a:ext cx="1386417" cy="54730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fld id="{5F2A20C5-5371-4945-9073-FE31B0FD13D0}" type="TxLink">
              <a:rPr lang="en-US" sz="2800" b="1" i="0" u="none" strike="noStrike">
                <a:solidFill>
                  <a:srgbClr val="000000"/>
                </a:solidFill>
                <a:latin typeface="Book Antiqua" panose="02040602050305030304" pitchFamily="18" charset="0"/>
              </a:rPr>
              <a:pPr algn="ctr"/>
              <a:t>EAST</a:t>
            </a:fld>
            <a:endParaRPr lang="en-GB" sz="2800" b="1">
              <a:latin typeface="Book Antiqua" panose="02040602050305030304" pitchFamily="18" charset="0"/>
            </a:endParaRPr>
          </a:p>
        </xdr:txBody>
      </xdr:sp>
      <xdr:sp macro="" textlink="$C$62">
        <xdr:nvSpPr>
          <xdr:cNvPr id="15" name="TextBox 14">
            <a:extLst>
              <a:ext uri="{FF2B5EF4-FFF2-40B4-BE49-F238E27FC236}">
                <a16:creationId xmlns:a16="http://schemas.microsoft.com/office/drawing/2014/main" id="{2CE3EDE5-55BF-6633-76AB-B7B8BDB86571}"/>
              </a:ext>
            </a:extLst>
          </xdr:cNvPr>
          <xdr:cNvSpPr txBox="1"/>
        </xdr:nvSpPr>
        <xdr:spPr>
          <a:xfrm>
            <a:off x="5175250" y="1336524"/>
            <a:ext cx="1333500" cy="5578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C2CC6646-ED70-4E0C-94CB-E1EB39C3B637}" type="TxLink">
              <a:rPr lang="en-US" sz="3000" b="1" i="0" u="none" strike="noStrike">
                <a:solidFill>
                  <a:srgbClr val="000000"/>
                </a:solidFill>
                <a:latin typeface="Aptos Narrow"/>
              </a:rPr>
              <a:pPr algn="ctr"/>
              <a:t>25</a:t>
            </a:fld>
            <a:endParaRPr lang="en-GB" sz="3000" b="1"/>
          </a:p>
        </xdr:txBody>
      </xdr:sp>
    </xdr:grpSp>
    <xdr:clientData/>
  </xdr:twoCellAnchor>
  <xdr:twoCellAnchor>
    <xdr:from>
      <xdr:col>10</xdr:col>
      <xdr:colOff>127003</xdr:colOff>
      <xdr:row>0</xdr:row>
      <xdr:rowOff>0</xdr:rowOff>
    </xdr:from>
    <xdr:to>
      <xdr:col>15</xdr:col>
      <xdr:colOff>95253</xdr:colOff>
      <xdr:row>8</xdr:row>
      <xdr:rowOff>84666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BA99561-1BE0-E033-9FDC-A7ED0007A608}"/>
            </a:ext>
          </a:extLst>
        </xdr:cNvPr>
        <xdr:cNvGrpSpPr/>
      </xdr:nvGrpSpPr>
      <xdr:grpSpPr>
        <a:xfrm>
          <a:off x="6250217" y="0"/>
          <a:ext cx="3029857" cy="1608666"/>
          <a:chOff x="6699250" y="539750"/>
          <a:chExt cx="2878667" cy="161925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4D23BB7C-A0DC-3314-16D5-39A15D43D337}"/>
              </a:ext>
            </a:extLst>
          </xdr:cNvPr>
          <xdr:cNvSpPr/>
        </xdr:nvSpPr>
        <xdr:spPr>
          <a:xfrm>
            <a:off x="6699250" y="539750"/>
            <a:ext cx="2878667" cy="1619250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38779532-930E-ADB1-26ED-7C4ADBC92535}"/>
              </a:ext>
            </a:extLst>
          </xdr:cNvPr>
          <xdr:cNvSpPr txBox="1"/>
        </xdr:nvSpPr>
        <xdr:spPr>
          <a:xfrm>
            <a:off x="6963833" y="656167"/>
            <a:ext cx="2360083" cy="43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400" b="1">
                <a:latin typeface="Book Antiqua" panose="02040602050305030304" pitchFamily="18" charset="0"/>
              </a:rPr>
              <a:t>Maximum Single Order</a:t>
            </a:r>
          </a:p>
        </xdr:txBody>
      </xdr:sp>
      <xdr:sp macro="" textlink="$B$59">
        <xdr:nvSpPr>
          <xdr:cNvPr id="19" name="TextBox 18">
            <a:extLst>
              <a:ext uri="{FF2B5EF4-FFF2-40B4-BE49-F238E27FC236}">
                <a16:creationId xmlns:a16="http://schemas.microsoft.com/office/drawing/2014/main" id="{4C39E60C-659A-93C5-95CF-1286CF3FB222}"/>
              </a:ext>
            </a:extLst>
          </xdr:cNvPr>
          <xdr:cNvSpPr txBox="1"/>
        </xdr:nvSpPr>
        <xdr:spPr>
          <a:xfrm>
            <a:off x="7450669" y="1306763"/>
            <a:ext cx="1513416" cy="55590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CB63582-900E-42B0-B86D-56FB8494192F}" type="TxLink">
              <a:rPr lang="en-US" sz="3000" b="1" i="0" u="none" strike="noStrike">
                <a:solidFill>
                  <a:srgbClr val="000000"/>
                </a:solidFill>
                <a:latin typeface="Aptos Narrow"/>
              </a:rPr>
              <a:pPr algn="ctr"/>
              <a:t>£15.00</a:t>
            </a:fld>
            <a:endParaRPr lang="en-GB" sz="3000" b="1"/>
          </a:p>
        </xdr:txBody>
      </xdr:sp>
    </xdr:grpSp>
    <xdr:clientData/>
  </xdr:twoCellAnchor>
  <xdr:twoCellAnchor>
    <xdr:from>
      <xdr:col>15</xdr:col>
      <xdr:colOff>79376</xdr:colOff>
      <xdr:row>0</xdr:row>
      <xdr:rowOff>0</xdr:rowOff>
    </xdr:from>
    <xdr:to>
      <xdr:col>19</xdr:col>
      <xdr:colOff>518586</xdr:colOff>
      <xdr:row>8</xdr:row>
      <xdr:rowOff>84666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DDFE09F-61D0-2879-ED3F-7F17596606EA}"/>
            </a:ext>
          </a:extLst>
        </xdr:cNvPr>
        <xdr:cNvSpPr/>
      </xdr:nvSpPr>
      <xdr:spPr>
        <a:xfrm>
          <a:off x="9128126" y="555625"/>
          <a:ext cx="2852210" cy="1608666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232836</xdr:colOff>
      <xdr:row>0</xdr:row>
      <xdr:rowOff>95250</xdr:rowOff>
    </xdr:from>
    <xdr:to>
      <xdr:col>19</xdr:col>
      <xdr:colOff>105836</xdr:colOff>
      <xdr:row>2</xdr:row>
      <xdr:rowOff>163286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754009B-F9EE-0E07-3F37-5692C244E3AD}"/>
            </a:ext>
          </a:extLst>
        </xdr:cNvPr>
        <xdr:cNvSpPr txBox="1"/>
      </xdr:nvSpPr>
      <xdr:spPr>
        <a:xfrm>
          <a:off x="10029979" y="95250"/>
          <a:ext cx="1709964" cy="4490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latin typeface="Book Antiqua" panose="02040602050305030304" pitchFamily="18" charset="0"/>
            </a:rPr>
            <a:t>Avg. Per Order</a:t>
          </a:r>
        </a:p>
      </xdr:txBody>
    </xdr:sp>
    <xdr:clientData/>
  </xdr:twoCellAnchor>
  <xdr:twoCellAnchor>
    <xdr:from>
      <xdr:col>16</xdr:col>
      <xdr:colOff>359834</xdr:colOff>
      <xdr:row>3</xdr:row>
      <xdr:rowOff>136070</xdr:rowOff>
    </xdr:from>
    <xdr:to>
      <xdr:col>19</xdr:col>
      <xdr:colOff>0</xdr:colOff>
      <xdr:row>6</xdr:row>
      <xdr:rowOff>116415</xdr:rowOff>
    </xdr:to>
    <xdr:sp macro="" textlink="$B$57">
      <xdr:nvSpPr>
        <xdr:cNvPr id="24" name="TextBox 23">
          <a:extLst>
            <a:ext uri="{FF2B5EF4-FFF2-40B4-BE49-F238E27FC236}">
              <a16:creationId xmlns:a16="http://schemas.microsoft.com/office/drawing/2014/main" id="{AAC1CF99-1AAB-699C-7BEA-57EB37DDB0B5}"/>
            </a:ext>
          </a:extLst>
        </xdr:cNvPr>
        <xdr:cNvSpPr txBox="1"/>
      </xdr:nvSpPr>
      <xdr:spPr>
        <a:xfrm>
          <a:off x="10156977" y="707570"/>
          <a:ext cx="1477130" cy="5518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4F16EB3-C74B-4907-A5D5-90B42399E4C1}" type="TxLink">
            <a:rPr lang="en-US" sz="3000" b="1" i="0" u="none" strike="noStrike">
              <a:solidFill>
                <a:srgbClr val="000000"/>
              </a:solidFill>
              <a:latin typeface="Aptos Narrow"/>
            </a:rPr>
            <a:pPr/>
            <a:t>£18.38</a:t>
          </a:fld>
          <a:endParaRPr lang="en-GB" sz="3000" b="1"/>
        </a:p>
      </xdr:txBody>
    </xdr:sp>
    <xdr:clientData/>
  </xdr:twoCellAnchor>
  <xdr:twoCellAnchor>
    <xdr:from>
      <xdr:col>0</xdr:col>
      <xdr:colOff>1</xdr:colOff>
      <xdr:row>8</xdr:row>
      <xdr:rowOff>84368</xdr:rowOff>
    </xdr:from>
    <xdr:to>
      <xdr:col>10</xdr:col>
      <xdr:colOff>136073</xdr:colOff>
      <xdr:row>23</xdr:row>
      <xdr:rowOff>149683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CB61A1C-5D74-65CE-8D71-60B59353F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149679</xdr:colOff>
      <xdr:row>8</xdr:row>
      <xdr:rowOff>97976</xdr:rowOff>
    </xdr:from>
    <xdr:to>
      <xdr:col>19</xdr:col>
      <xdr:colOff>517072</xdr:colOff>
      <xdr:row>23</xdr:row>
      <xdr:rowOff>149684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3995287-2061-2C48-6C1D-A60CA8454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176894</xdr:colOff>
      <xdr:row>4</xdr:row>
      <xdr:rowOff>27214</xdr:rowOff>
    </xdr:from>
    <xdr:to>
      <xdr:col>2</xdr:col>
      <xdr:colOff>149679</xdr:colOff>
      <xdr:row>6</xdr:row>
      <xdr:rowOff>176893</xdr:rowOff>
    </xdr:to>
    <xdr:sp macro="" textlink="$B$61">
      <xdr:nvSpPr>
        <xdr:cNvPr id="5" name="TextBox 4">
          <a:extLst>
            <a:ext uri="{FF2B5EF4-FFF2-40B4-BE49-F238E27FC236}">
              <a16:creationId xmlns:a16="http://schemas.microsoft.com/office/drawing/2014/main" id="{BBCF3FF5-238A-F902-A5EA-AE97889D28DE}"/>
            </a:ext>
          </a:extLst>
        </xdr:cNvPr>
        <xdr:cNvSpPr txBox="1"/>
      </xdr:nvSpPr>
      <xdr:spPr>
        <a:xfrm>
          <a:off x="176894" y="789214"/>
          <a:ext cx="1197428" cy="5306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960F9E4-D7DF-4665-8C6E-0C62A5E0A4C4}" type="TxLink">
            <a:rPr lang="en-US" sz="2800" b="1" i="0" u="none" strike="noStrike">
              <a:solidFill>
                <a:srgbClr val="000000"/>
              </a:solidFill>
              <a:latin typeface="Book Antiqua" panose="02040602050305030304" pitchFamily="18" charset="0"/>
            </a:rPr>
            <a:pPr algn="ctr"/>
            <a:t>EAST</a:t>
          </a:fld>
          <a:endParaRPr lang="en-GB" sz="2800" b="1">
            <a:latin typeface="Book Antiqua" panose="02040602050305030304" pitchFamily="18" charset="0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91.501315162037" backgroundQuery="1" createdVersion="8" refreshedVersion="8" minRefreshableVersion="3" recordCount="0" supportSubquery="1" supportAdvancedDrill="1" xr:uid="{29CC7B54-A683-42EA-97CE-FE6A892EA6E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Range].[region].[region]" caption="region" numFmtId="0" hierarchy="2" level="1">
      <sharedItems count="4">
        <s v="East"/>
        <s v="North"/>
        <s v="South"/>
        <s v="West"/>
      </sharedItems>
    </cacheField>
    <cacheField name="[Measures].[Sum of units_sold]" caption="Sum of units_sold" numFmtId="0" hierarchy="8" level="32767"/>
    <cacheField name="[Measures].[Sum of unit_price]" caption="Sum of unit_price" numFmtId="0" hierarchy="9" level="32767"/>
    <cacheField name="[Range].[product_category].[product_category]" caption="product_category" numFmtId="0" hierarchy="3" level="1">
      <sharedItems count="3">
        <s v="Apparel"/>
        <s v="Electronics"/>
        <s v="Home"/>
      </sharedItems>
    </cacheField>
  </cacheFields>
  <cacheHierarchies count="1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category]" caption="product_category" attribute="1" defaultMemberUniqueName="[Range].[product_category].[All]" allUniqueName="[Range].[product_category].[All]" dimensionUniqueName="[Range]" displayFolder="" count="2" memberValueDatatype="130" unbalanced="0">
      <fieldsUsage count="2">
        <fieldUsage x="-1"/>
        <fieldUsage x="3"/>
      </fieldsUsage>
    </cacheHierarchy>
    <cacheHierarchy uniqueName="[Range].[units_sold]" caption="units_sold" attribute="1" defaultMemberUniqueName="[Range].[units_sold].[All]" allUniqueName="[Range].[units_sold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2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_price]" caption="Sum of unit_pric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_category]" caption="Count of product_catego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3504782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CC2B3-928B-4AAF-B6AE-622B49E03C69}" name="PivotChar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C17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3"/>
    <field x="0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units_sold" fld="1" baseField="0" baseItem="0"/>
    <dataField name="Revenue (units x price)" fld="2" baseField="0" baseItem="0"/>
  </dataFields>
  <chartFormats count="2">
    <chartFormat chart="0" format="1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rowHierarchiesUsage count="2">
    <rowHierarchyUsage hierarchyUsage="3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6" columnCount="2" cacheId="1350478245">
        <x15:pivotRow count="2">
          <x15:c t="e">
            <x15:v/>
          </x15:c>
          <x15:c t="e">
            <x15:v/>
          </x15:c>
        </x15:pivotRow>
        <x15:pivotRow count="2">
          <x15:c>
            <x15:v>572</x15:v>
          </x15:c>
          <x15:c>
            <x15:v>162</x15:v>
          </x15:c>
        </x15:pivotRow>
        <x15:pivotRow count="2">
          <x15:c>
            <x15:v>473</x15:v>
          </x15:c>
          <x15:c>
            <x15:v>144</x15:v>
          </x15:c>
        </x15:pivotRow>
        <x15:pivotRow count="2">
          <x15:c>
            <x15:v>434</x15:v>
          </x15:c>
          <x15:c>
            <x15:v>108</x15:v>
          </x15:c>
        </x15:pivotRow>
        <x15:pivotRow count="2">
          <x15:c>
            <x15:v>355</x15:v>
          </x15:c>
          <x15:c>
            <x15:v>144</x15:v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464</x15:v>
          </x15:c>
          <x15:c>
            <x15:v>120</x15:v>
          </x15:c>
        </x15:pivotRow>
        <x15:pivotRow count="2">
          <x15:c>
            <x15:v>340</x15:v>
          </x15:c>
          <x15:c>
            <x15:v>90</x15:v>
          </x15:c>
        </x15:pivotRow>
        <x15:pivotRow count="2">
          <x15:c>
            <x15:v>592</x15:v>
          </x15:c>
          <x15:c>
            <x15:v>135</x15:v>
          </x15:c>
        </x15:pivotRow>
        <x15:pivotRow count="2">
          <x15:c>
            <x15:v>185</x15:v>
          </x15:c>
          <x15:c>
            <x15:v>75</x15:v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396</x15:v>
          </x15:c>
          <x15:c>
            <x15:v>176</x15:v>
          </x15:c>
        </x15:pivotRow>
        <x15:pivotRow count="2">
          <x15:c>
            <x15:v>254</x15:v>
          </x15:c>
          <x15:c>
            <x15:v>132</x15:v>
          </x15:c>
        </x15:pivotRow>
        <x15:pivotRow count="2">
          <x15:c>
            <x15:v>452</x15:v>
          </x15:c>
          <x15:c>
            <x15:v>198</x15:v>
          </x15:c>
        </x15:pivotRow>
        <x15:pivotRow count="2">
          <x15:c>
            <x15:v>377</x15:v>
          </x15:c>
          <x15:c>
            <x15:v>176</x15:v>
          </x15:c>
        </x15:pivotRow>
        <x15:pivotRow count="2">
          <x15:c>
            <x15:v>4894</x15:v>
          </x15:c>
          <x15:c>
            <x15:v>1660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DATA!$A$1:$F$9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E6BB-F456-4EDB-B8E8-979A8CC6BE2F}">
  <sheetPr>
    <pageSetUpPr fitToPage="1"/>
  </sheetPr>
  <dimension ref="A49:C62"/>
  <sheetViews>
    <sheetView tabSelected="1" zoomScale="70" zoomScaleNormal="70" workbookViewId="0">
      <selection activeCell="U1" sqref="U1"/>
    </sheetView>
  </sheetViews>
  <sheetFormatPr defaultRowHeight="15" x14ac:dyDescent="0.25"/>
  <cols>
    <col min="20" max="20" width="8" customWidth="1"/>
  </cols>
  <sheetData>
    <row r="49" spans="1:3" x14ac:dyDescent="0.25">
      <c r="A49" s="16" t="s">
        <v>109</v>
      </c>
      <c r="B49" s="12"/>
      <c r="C49" s="12"/>
    </row>
    <row r="50" spans="1:3" x14ac:dyDescent="0.25">
      <c r="A50" s="17" t="s">
        <v>122</v>
      </c>
      <c r="B50" s="17" t="s">
        <v>117</v>
      </c>
      <c r="C50" s="17" t="s">
        <v>118</v>
      </c>
    </row>
    <row r="51" spans="1:3" x14ac:dyDescent="0.25">
      <c r="A51" s="18" t="s">
        <v>110</v>
      </c>
      <c r="B51" s="19">
        <f ca="1">SUMIF(DATA!$C:$F,A51,DATA!$F:$F)</f>
        <v>458</v>
      </c>
      <c r="C51" s="18">
        <f>COUNTIF(DATA!C:E,A51)</f>
        <v>25</v>
      </c>
    </row>
    <row r="52" spans="1:3" x14ac:dyDescent="0.25">
      <c r="A52" s="18" t="s">
        <v>111</v>
      </c>
      <c r="B52" s="19">
        <f ca="1">SUMIF(DATA!$C:$F,A52,DATA!$F:$F)</f>
        <v>441</v>
      </c>
      <c r="C52" s="18">
        <f>COUNTIF(DATA!C:E,A52)</f>
        <v>24</v>
      </c>
    </row>
    <row r="53" spans="1:3" x14ac:dyDescent="0.25">
      <c r="A53" s="18" t="s">
        <v>112</v>
      </c>
      <c r="B53" s="19">
        <f ca="1">SUMIF(DATA!$C:$F,A53,DATA!$F:$F)</f>
        <v>395</v>
      </c>
      <c r="C53" s="18">
        <f>COUNTIF(DATA!C:E,A53)</f>
        <v>21</v>
      </c>
    </row>
    <row r="54" spans="1:3" x14ac:dyDescent="0.25">
      <c r="A54" s="18" t="s">
        <v>113</v>
      </c>
      <c r="B54" s="19">
        <f ca="1">SUMIF(DATA!$C:$F,A54,DATA!$F:$F)</f>
        <v>366</v>
      </c>
      <c r="C54" s="18">
        <f>COUNTIF(DATA!C:E,A54)</f>
        <v>20</v>
      </c>
    </row>
    <row r="55" spans="1:3" x14ac:dyDescent="0.25">
      <c r="A55" s="20" t="s">
        <v>121</v>
      </c>
      <c r="B55" s="21">
        <f ca="1">SUM(B51:B54)</f>
        <v>1660</v>
      </c>
      <c r="C55" s="20">
        <f>COUNT(DATA!E10:E99)</f>
        <v>82</v>
      </c>
    </row>
    <row r="56" spans="1:3" x14ac:dyDescent="0.25">
      <c r="A56" s="6"/>
      <c r="C56" s="13"/>
    </row>
    <row r="57" spans="1:3" x14ac:dyDescent="0.25">
      <c r="A57" t="s">
        <v>114</v>
      </c>
      <c r="B57" s="1">
        <f>AVERAGE(DATA!F10:F99)</f>
        <v>18.378048780487806</v>
      </c>
    </row>
    <row r="58" spans="1:3" x14ac:dyDescent="0.25">
      <c r="A58" t="s">
        <v>115</v>
      </c>
      <c r="B58" s="1">
        <f>MAX(DATA!F10:F99)</f>
        <v>22</v>
      </c>
    </row>
    <row r="59" spans="1:3" x14ac:dyDescent="0.25">
      <c r="A59" t="s">
        <v>116</v>
      </c>
      <c r="B59" s="1">
        <f>MIN(DATA!F10:F99)</f>
        <v>15</v>
      </c>
    </row>
    <row r="61" spans="1:3" x14ac:dyDescent="0.25">
      <c r="A61" s="6" t="s">
        <v>119</v>
      </c>
      <c r="B61" s="14" t="str">
        <f ca="1">INDEX(A51:A54, MATCH(MAX(B51:B54), B51:B54, 0))</f>
        <v>EAST</v>
      </c>
      <c r="C61" s="1">
        <f ca="1">VLOOKUP(B61,A51:B54,2)</f>
        <v>458</v>
      </c>
    </row>
    <row r="62" spans="1:3" x14ac:dyDescent="0.25">
      <c r="A62" s="6" t="s">
        <v>120</v>
      </c>
      <c r="B62" s="15" t="str">
        <f>INDEX(A51:A54, MATCH(MAX(C51:C54),C51:C54, 0))</f>
        <v>EAST</v>
      </c>
      <c r="C62">
        <f>VLOOKUP(B62,A51:C54,3)</f>
        <v>25</v>
      </c>
    </row>
  </sheetData>
  <protectedRanges>
    <protectedRange algorithmName="SHA-512" hashValue="mwz4sZgUuhZkgoZCeEw9grrHUwLNoEs+gEUS9pkgo7D3hKiyI0eQUgzKaf9LfyiU2SioGhKwjvJ9pDMQe9rbEA==" saltValue="kfBiJ3r6vqONSqUNP8Iq/g==" spinCount="100000" sqref="A49:C62" name="Range1"/>
  </protectedRanges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Header>&amp;L&amp;"Bookman Old Style,Bold"&amp;9Note: RANDBETWEEN formulas were used to generate synthetic data.&amp;C&amp;"Book Antiqua,Bold"&amp;20&amp;ES A L E S   D A S H B O A R D</oddHeader>
  </headerFooter>
  <rowBreaks count="1" manualBreakCount="1">
    <brk id="47" max="2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943D-B4BA-4EDD-A332-84401498EE2A}">
  <sheetPr codeName="Sheet1"/>
  <dimension ref="A1:K91"/>
  <sheetViews>
    <sheetView workbookViewId="0">
      <pane ySplit="1" topLeftCell="A2" activePane="bottomLeft" state="frozen"/>
      <selection pane="bottomLeft" activeCell="J15" sqref="J15"/>
    </sheetView>
  </sheetViews>
  <sheetFormatPr defaultRowHeight="15" x14ac:dyDescent="0.25"/>
  <cols>
    <col min="1" max="1" width="9.5703125" bestFit="1" customWidth="1"/>
    <col min="2" max="2" width="10.42578125" style="3" bestFit="1" customWidth="1"/>
    <col min="3" max="3" width="6.7109375" style="4" bestFit="1" customWidth="1"/>
    <col min="4" max="4" width="16.7109375" bestFit="1" customWidth="1"/>
    <col min="5" max="5" width="10.28515625" style="2" bestFit="1" customWidth="1"/>
    <col min="6" max="6" width="10" style="1" bestFit="1" customWidth="1"/>
    <col min="10" max="10" width="56.5703125" bestFit="1" customWidth="1"/>
    <col min="11" max="11" width="55.42578125" bestFit="1" customWidth="1"/>
  </cols>
  <sheetData>
    <row r="1" spans="1:11" ht="24" customHeight="1" x14ac:dyDescent="0.25">
      <c r="A1" s="6" t="s">
        <v>0</v>
      </c>
      <c r="B1" s="7" t="s">
        <v>1</v>
      </c>
      <c r="C1" s="8" t="s">
        <v>2</v>
      </c>
      <c r="D1" s="6" t="s">
        <v>3</v>
      </c>
      <c r="E1" s="9" t="s">
        <v>4</v>
      </c>
      <c r="F1" s="10" t="s">
        <v>5</v>
      </c>
      <c r="J1" t="s">
        <v>129</v>
      </c>
    </row>
    <row r="2" spans="1:11" x14ac:dyDescent="0.25">
      <c r="A2" s="5" t="s">
        <v>105</v>
      </c>
      <c r="B2" s="3">
        <v>39316</v>
      </c>
      <c r="C2" s="4" t="s">
        <v>9</v>
      </c>
      <c r="D2" t="s">
        <v>13</v>
      </c>
      <c r="E2" s="11">
        <v>18</v>
      </c>
      <c r="F2" s="1">
        <v>15</v>
      </c>
      <c r="J2" s="5" t="s">
        <v>6</v>
      </c>
      <c r="K2" t="s">
        <v>106</v>
      </c>
    </row>
    <row r="3" spans="1:11" x14ac:dyDescent="0.25">
      <c r="A3" t="s">
        <v>17</v>
      </c>
      <c r="B3" s="3">
        <v>46326</v>
      </c>
      <c r="C3" s="4" t="s">
        <v>9</v>
      </c>
      <c r="D3" t="s">
        <v>14</v>
      </c>
      <c r="E3" s="11">
        <v>86</v>
      </c>
      <c r="F3" s="1">
        <v>18</v>
      </c>
      <c r="J3" s="5" t="s">
        <v>7</v>
      </c>
      <c r="K3" t="s">
        <v>107</v>
      </c>
    </row>
    <row r="4" spans="1:11" x14ac:dyDescent="0.25">
      <c r="A4" t="s">
        <v>18</v>
      </c>
      <c r="B4" s="3">
        <v>46189</v>
      </c>
      <c r="C4" s="4" t="s">
        <v>9</v>
      </c>
      <c r="D4" t="s">
        <v>15</v>
      </c>
      <c r="E4" s="11">
        <v>43</v>
      </c>
      <c r="F4" s="1">
        <v>22</v>
      </c>
      <c r="J4" s="5" t="s">
        <v>12</v>
      </c>
      <c r="K4" t="s">
        <v>108</v>
      </c>
    </row>
    <row r="5" spans="1:11" x14ac:dyDescent="0.25">
      <c r="A5" t="s">
        <v>19</v>
      </c>
      <c r="B5" s="3">
        <v>46072</v>
      </c>
      <c r="C5" s="4" t="s">
        <v>10</v>
      </c>
      <c r="D5" t="s">
        <v>15</v>
      </c>
      <c r="E5" s="11">
        <v>94</v>
      </c>
      <c r="F5" s="1">
        <v>22</v>
      </c>
      <c r="J5" s="5" t="s">
        <v>16</v>
      </c>
      <c r="K5" t="s">
        <v>130</v>
      </c>
    </row>
    <row r="6" spans="1:11" x14ac:dyDescent="0.25">
      <c r="A6" t="s">
        <v>20</v>
      </c>
      <c r="B6" s="3">
        <v>46345</v>
      </c>
      <c r="C6" s="4" t="s">
        <v>8</v>
      </c>
      <c r="D6" t="s">
        <v>14</v>
      </c>
      <c r="E6" s="11">
        <v>16</v>
      </c>
      <c r="F6" s="1">
        <v>18</v>
      </c>
      <c r="J6" s="5" t="s">
        <v>123</v>
      </c>
      <c r="K6" t="s">
        <v>124</v>
      </c>
    </row>
    <row r="7" spans="1:11" x14ac:dyDescent="0.25">
      <c r="A7" t="s">
        <v>21</v>
      </c>
      <c r="B7" s="3">
        <v>46188</v>
      </c>
      <c r="C7" s="4" t="s">
        <v>9</v>
      </c>
      <c r="D7" t="s">
        <v>14</v>
      </c>
      <c r="E7" s="11">
        <v>88</v>
      </c>
      <c r="F7" s="1">
        <v>18</v>
      </c>
    </row>
    <row r="8" spans="1:11" x14ac:dyDescent="0.25">
      <c r="A8" t="s">
        <v>22</v>
      </c>
      <c r="B8" s="3">
        <v>46073</v>
      </c>
      <c r="C8" s="4" t="s">
        <v>10</v>
      </c>
      <c r="D8" t="s">
        <v>14</v>
      </c>
      <c r="E8" s="11">
        <v>65</v>
      </c>
      <c r="F8" s="1">
        <v>18</v>
      </c>
      <c r="J8" t="s">
        <v>131</v>
      </c>
    </row>
    <row r="9" spans="1:11" x14ac:dyDescent="0.25">
      <c r="A9" t="s">
        <v>23</v>
      </c>
      <c r="B9" s="3">
        <v>46343</v>
      </c>
      <c r="C9" s="4" t="s">
        <v>8</v>
      </c>
      <c r="D9" t="s">
        <v>15</v>
      </c>
      <c r="E9" s="11">
        <v>45</v>
      </c>
      <c r="F9" s="1">
        <v>22</v>
      </c>
      <c r="J9" t="s">
        <v>125</v>
      </c>
    </row>
    <row r="10" spans="1:11" x14ac:dyDescent="0.25">
      <c r="A10" t="s">
        <v>24</v>
      </c>
      <c r="B10" s="3">
        <v>46253</v>
      </c>
      <c r="C10" s="4" t="s">
        <v>10</v>
      </c>
      <c r="D10" t="s">
        <v>13</v>
      </c>
      <c r="E10" s="11">
        <v>36</v>
      </c>
      <c r="F10" s="1">
        <v>15</v>
      </c>
      <c r="J10" t="s">
        <v>126</v>
      </c>
    </row>
    <row r="11" spans="1:11" x14ac:dyDescent="0.25">
      <c r="A11" t="s">
        <v>25</v>
      </c>
      <c r="B11" s="3">
        <v>46065</v>
      </c>
      <c r="C11" s="4" t="s">
        <v>9</v>
      </c>
      <c r="D11" t="s">
        <v>15</v>
      </c>
      <c r="E11" s="11">
        <v>75</v>
      </c>
      <c r="F11" s="1">
        <v>22</v>
      </c>
      <c r="J11" t="s">
        <v>127</v>
      </c>
    </row>
    <row r="12" spans="1:11" x14ac:dyDescent="0.25">
      <c r="A12" t="s">
        <v>26</v>
      </c>
      <c r="B12" s="3">
        <v>46189</v>
      </c>
      <c r="C12" s="4" t="s">
        <v>10</v>
      </c>
      <c r="D12" t="s">
        <v>13</v>
      </c>
      <c r="E12" s="11">
        <v>34</v>
      </c>
      <c r="F12" s="1">
        <v>15</v>
      </c>
      <c r="J12" t="s">
        <v>128</v>
      </c>
    </row>
    <row r="13" spans="1:11" x14ac:dyDescent="0.25">
      <c r="A13" t="s">
        <v>27</v>
      </c>
      <c r="B13" s="3">
        <v>46196</v>
      </c>
      <c r="C13" s="4" t="s">
        <v>9</v>
      </c>
      <c r="D13" t="s">
        <v>13</v>
      </c>
      <c r="E13" s="11">
        <v>69</v>
      </c>
      <c r="F13" s="1">
        <v>15</v>
      </c>
    </row>
    <row r="14" spans="1:11" x14ac:dyDescent="0.25">
      <c r="A14" t="s">
        <v>28</v>
      </c>
      <c r="B14" s="3">
        <v>46359</v>
      </c>
      <c r="C14" s="4" t="s">
        <v>9</v>
      </c>
      <c r="D14" t="s">
        <v>15</v>
      </c>
      <c r="E14" s="11">
        <v>56</v>
      </c>
      <c r="F14" s="1">
        <v>22</v>
      </c>
      <c r="J14" t="s">
        <v>132</v>
      </c>
    </row>
    <row r="15" spans="1:11" x14ac:dyDescent="0.25">
      <c r="A15" t="s">
        <v>29</v>
      </c>
      <c r="B15" s="3">
        <v>46060</v>
      </c>
      <c r="C15" s="4" t="s">
        <v>8</v>
      </c>
      <c r="D15" t="s">
        <v>15</v>
      </c>
      <c r="E15" s="11">
        <v>49</v>
      </c>
      <c r="F15" s="1">
        <v>22</v>
      </c>
    </row>
    <row r="16" spans="1:11" x14ac:dyDescent="0.25">
      <c r="A16" t="s">
        <v>30</v>
      </c>
      <c r="B16" s="3">
        <v>46030</v>
      </c>
      <c r="C16" s="4" t="s">
        <v>11</v>
      </c>
      <c r="D16" t="s">
        <v>15</v>
      </c>
      <c r="E16" s="11">
        <v>33</v>
      </c>
      <c r="F16" s="1">
        <v>22</v>
      </c>
    </row>
    <row r="17" spans="1:6" x14ac:dyDescent="0.25">
      <c r="A17" t="s">
        <v>31</v>
      </c>
      <c r="B17" s="3">
        <v>46386</v>
      </c>
      <c r="C17" s="4" t="s">
        <v>10</v>
      </c>
      <c r="D17" t="s">
        <v>14</v>
      </c>
      <c r="E17" s="11">
        <v>74</v>
      </c>
      <c r="F17" s="1">
        <v>18</v>
      </c>
    </row>
    <row r="18" spans="1:6" x14ac:dyDescent="0.25">
      <c r="A18" t="s">
        <v>32</v>
      </c>
      <c r="B18" s="3">
        <v>46112</v>
      </c>
      <c r="C18" s="4" t="s">
        <v>11</v>
      </c>
      <c r="D18" t="s">
        <v>13</v>
      </c>
      <c r="E18" s="11">
        <v>100</v>
      </c>
      <c r="F18" s="1">
        <v>15</v>
      </c>
    </row>
    <row r="19" spans="1:6" x14ac:dyDescent="0.25">
      <c r="A19" t="s">
        <v>33</v>
      </c>
      <c r="B19" s="3">
        <v>46146</v>
      </c>
      <c r="C19" s="4" t="s">
        <v>10</v>
      </c>
      <c r="D19" t="s">
        <v>14</v>
      </c>
      <c r="E19" s="11">
        <v>77</v>
      </c>
      <c r="F19" s="1">
        <v>18</v>
      </c>
    </row>
    <row r="20" spans="1:6" x14ac:dyDescent="0.25">
      <c r="A20" t="s">
        <v>34</v>
      </c>
      <c r="B20" s="3">
        <v>46286</v>
      </c>
      <c r="C20" s="4" t="s">
        <v>8</v>
      </c>
      <c r="D20" t="s">
        <v>13</v>
      </c>
      <c r="E20" s="11">
        <v>17</v>
      </c>
      <c r="F20" s="1">
        <v>15</v>
      </c>
    </row>
    <row r="21" spans="1:6" x14ac:dyDescent="0.25">
      <c r="A21" t="s">
        <v>35</v>
      </c>
      <c r="B21" s="3">
        <v>46281</v>
      </c>
      <c r="C21" s="4" t="s">
        <v>9</v>
      </c>
      <c r="D21" t="s">
        <v>14</v>
      </c>
      <c r="E21" s="11">
        <v>15</v>
      </c>
      <c r="F21" s="1">
        <v>18</v>
      </c>
    </row>
    <row r="22" spans="1:6" x14ac:dyDescent="0.25">
      <c r="A22" t="s">
        <v>36</v>
      </c>
      <c r="B22" s="3">
        <v>46250</v>
      </c>
      <c r="C22" s="4" t="s">
        <v>11</v>
      </c>
      <c r="D22" t="s">
        <v>13</v>
      </c>
      <c r="E22" s="11">
        <v>66</v>
      </c>
      <c r="F22" s="1">
        <v>15</v>
      </c>
    </row>
    <row r="23" spans="1:6" x14ac:dyDescent="0.25">
      <c r="A23" t="s">
        <v>37</v>
      </c>
      <c r="B23" s="3">
        <v>46363</v>
      </c>
      <c r="C23" s="4" t="s">
        <v>10</v>
      </c>
      <c r="D23" t="s">
        <v>15</v>
      </c>
      <c r="E23" s="11">
        <v>37</v>
      </c>
      <c r="F23" s="1">
        <v>22</v>
      </c>
    </row>
    <row r="24" spans="1:6" x14ac:dyDescent="0.25">
      <c r="A24" t="s">
        <v>38</v>
      </c>
      <c r="B24" s="3">
        <v>46088</v>
      </c>
      <c r="C24" s="4" t="s">
        <v>11</v>
      </c>
      <c r="D24" t="s">
        <v>13</v>
      </c>
      <c r="E24" s="11">
        <v>12</v>
      </c>
      <c r="F24" s="1">
        <v>15</v>
      </c>
    </row>
    <row r="25" spans="1:6" x14ac:dyDescent="0.25">
      <c r="A25" t="s">
        <v>39</v>
      </c>
      <c r="B25" s="3">
        <v>46320</v>
      </c>
      <c r="C25" s="4" t="s">
        <v>8</v>
      </c>
      <c r="D25" t="s">
        <v>15</v>
      </c>
      <c r="E25" s="11">
        <v>45</v>
      </c>
      <c r="F25" s="1">
        <v>22</v>
      </c>
    </row>
    <row r="26" spans="1:6" x14ac:dyDescent="0.25">
      <c r="A26" t="s">
        <v>40</v>
      </c>
      <c r="B26" s="3">
        <v>46306</v>
      </c>
      <c r="C26" s="4" t="s">
        <v>11</v>
      </c>
      <c r="D26" t="s">
        <v>14</v>
      </c>
      <c r="E26" s="11">
        <v>54</v>
      </c>
      <c r="F26" s="1">
        <v>18</v>
      </c>
    </row>
    <row r="27" spans="1:6" x14ac:dyDescent="0.25">
      <c r="A27" t="s">
        <v>41</v>
      </c>
      <c r="B27" s="3">
        <v>46191</v>
      </c>
      <c r="C27" s="4" t="s">
        <v>10</v>
      </c>
      <c r="D27" t="s">
        <v>15</v>
      </c>
      <c r="E27" s="11">
        <v>48</v>
      </c>
      <c r="F27" s="1">
        <v>22</v>
      </c>
    </row>
    <row r="28" spans="1:6" x14ac:dyDescent="0.25">
      <c r="A28" t="s">
        <v>42</v>
      </c>
      <c r="B28" s="3">
        <v>46114</v>
      </c>
      <c r="C28" s="4" t="s">
        <v>8</v>
      </c>
      <c r="D28" t="s">
        <v>14</v>
      </c>
      <c r="E28" s="11">
        <v>69</v>
      </c>
      <c r="F28" s="1">
        <v>18</v>
      </c>
    </row>
    <row r="29" spans="1:6" x14ac:dyDescent="0.25">
      <c r="A29" t="s">
        <v>43</v>
      </c>
      <c r="B29" s="3">
        <v>46024</v>
      </c>
      <c r="C29" s="4" t="s">
        <v>10</v>
      </c>
      <c r="D29" t="s">
        <v>13</v>
      </c>
      <c r="E29" s="11">
        <v>80</v>
      </c>
      <c r="F29" s="1">
        <v>15</v>
      </c>
    </row>
    <row r="30" spans="1:6" x14ac:dyDescent="0.25">
      <c r="A30" t="s">
        <v>44</v>
      </c>
      <c r="B30" s="3">
        <v>46083</v>
      </c>
      <c r="C30" s="4" t="s">
        <v>8</v>
      </c>
      <c r="D30" t="s">
        <v>15</v>
      </c>
      <c r="E30" s="11">
        <v>34</v>
      </c>
      <c r="F30" s="1">
        <v>22</v>
      </c>
    </row>
    <row r="31" spans="1:6" x14ac:dyDescent="0.25">
      <c r="A31" t="s">
        <v>45</v>
      </c>
      <c r="B31" s="3">
        <v>46274</v>
      </c>
      <c r="C31" s="4" t="s">
        <v>9</v>
      </c>
      <c r="D31" t="s">
        <v>15</v>
      </c>
      <c r="E31" s="11">
        <v>17</v>
      </c>
      <c r="F31" s="1">
        <v>22</v>
      </c>
    </row>
    <row r="32" spans="1:6" x14ac:dyDescent="0.25">
      <c r="A32" t="s">
        <v>46</v>
      </c>
      <c r="B32" s="3">
        <v>46130</v>
      </c>
      <c r="C32" s="4" t="s">
        <v>10</v>
      </c>
      <c r="D32" t="s">
        <v>15</v>
      </c>
      <c r="E32" s="11">
        <v>22</v>
      </c>
      <c r="F32" s="1">
        <v>22</v>
      </c>
    </row>
    <row r="33" spans="1:6" x14ac:dyDescent="0.25">
      <c r="A33" t="s">
        <v>47</v>
      </c>
      <c r="B33" s="3">
        <v>46034</v>
      </c>
      <c r="C33" s="4" t="s">
        <v>9</v>
      </c>
      <c r="D33" t="s">
        <v>14</v>
      </c>
      <c r="E33" s="11">
        <v>68</v>
      </c>
      <c r="F33" s="1">
        <v>18</v>
      </c>
    </row>
    <row r="34" spans="1:6" x14ac:dyDescent="0.25">
      <c r="A34" t="s">
        <v>48</v>
      </c>
      <c r="B34" s="3">
        <v>46319</v>
      </c>
      <c r="C34" s="4" t="s">
        <v>11</v>
      </c>
      <c r="D34" t="s">
        <v>15</v>
      </c>
      <c r="E34" s="11">
        <v>93</v>
      </c>
      <c r="F34" s="1">
        <v>22</v>
      </c>
    </row>
    <row r="35" spans="1:6" x14ac:dyDescent="0.25">
      <c r="A35" t="s">
        <v>49</v>
      </c>
      <c r="B35" s="3">
        <v>46104</v>
      </c>
      <c r="C35" s="4" t="s">
        <v>8</v>
      </c>
      <c r="D35" t="s">
        <v>13</v>
      </c>
      <c r="E35" s="11">
        <v>37</v>
      </c>
      <c r="F35" s="1">
        <v>15</v>
      </c>
    </row>
    <row r="36" spans="1:6" x14ac:dyDescent="0.25">
      <c r="A36" t="s">
        <v>50</v>
      </c>
      <c r="B36" s="3">
        <v>46362</v>
      </c>
      <c r="C36" s="4" t="s">
        <v>10</v>
      </c>
      <c r="D36" t="s">
        <v>13</v>
      </c>
      <c r="E36" s="11">
        <v>63</v>
      </c>
      <c r="F36" s="1">
        <v>15</v>
      </c>
    </row>
    <row r="37" spans="1:6" x14ac:dyDescent="0.25">
      <c r="A37" t="s">
        <v>51</v>
      </c>
      <c r="B37" s="3">
        <v>46120</v>
      </c>
      <c r="C37" s="4" t="s">
        <v>10</v>
      </c>
      <c r="D37" t="s">
        <v>14</v>
      </c>
      <c r="E37" s="11">
        <v>84</v>
      </c>
      <c r="F37" s="1">
        <v>18</v>
      </c>
    </row>
    <row r="38" spans="1:6" x14ac:dyDescent="0.25">
      <c r="A38" t="s">
        <v>52</v>
      </c>
      <c r="B38" s="3">
        <v>46195</v>
      </c>
      <c r="C38" s="4" t="s">
        <v>11</v>
      </c>
      <c r="D38" t="s">
        <v>14</v>
      </c>
      <c r="E38" s="11">
        <v>56</v>
      </c>
      <c r="F38" s="1">
        <v>18</v>
      </c>
    </row>
    <row r="39" spans="1:6" x14ac:dyDescent="0.25">
      <c r="A39" t="s">
        <v>53</v>
      </c>
      <c r="B39" s="3">
        <v>46222</v>
      </c>
      <c r="C39" s="4" t="s">
        <v>10</v>
      </c>
      <c r="D39" t="s">
        <v>15</v>
      </c>
      <c r="E39" s="11">
        <v>41</v>
      </c>
      <c r="F39" s="1">
        <v>22</v>
      </c>
    </row>
    <row r="40" spans="1:6" x14ac:dyDescent="0.25">
      <c r="A40" t="s">
        <v>54</v>
      </c>
      <c r="B40" s="3">
        <v>46310</v>
      </c>
      <c r="C40" s="4" t="s">
        <v>11</v>
      </c>
      <c r="D40" t="s">
        <v>15</v>
      </c>
      <c r="E40" s="11">
        <v>54</v>
      </c>
      <c r="F40" s="1">
        <v>22</v>
      </c>
    </row>
    <row r="41" spans="1:6" x14ac:dyDescent="0.25">
      <c r="A41" t="s">
        <v>55</v>
      </c>
      <c r="B41" s="3">
        <v>46137</v>
      </c>
      <c r="C41" s="4" t="s">
        <v>9</v>
      </c>
      <c r="D41" t="s">
        <v>13</v>
      </c>
      <c r="E41" s="11">
        <v>15</v>
      </c>
      <c r="F41" s="1">
        <v>15</v>
      </c>
    </row>
    <row r="42" spans="1:6" x14ac:dyDescent="0.25">
      <c r="A42" t="s">
        <v>56</v>
      </c>
      <c r="B42" s="3">
        <v>46182</v>
      </c>
      <c r="C42" s="4" t="s">
        <v>8</v>
      </c>
      <c r="D42" t="s">
        <v>14</v>
      </c>
      <c r="E42" s="11">
        <v>49</v>
      </c>
      <c r="F42" s="1">
        <v>18</v>
      </c>
    </row>
    <row r="43" spans="1:6" x14ac:dyDescent="0.25">
      <c r="A43" t="s">
        <v>57</v>
      </c>
      <c r="B43" s="3">
        <v>46198</v>
      </c>
      <c r="C43" s="4" t="s">
        <v>10</v>
      </c>
      <c r="D43" t="s">
        <v>15</v>
      </c>
      <c r="E43" s="11">
        <v>50</v>
      </c>
      <c r="F43" s="1">
        <v>22</v>
      </c>
    </row>
    <row r="44" spans="1:6" x14ac:dyDescent="0.25">
      <c r="A44" t="s">
        <v>58</v>
      </c>
      <c r="B44" s="3">
        <v>46326</v>
      </c>
      <c r="C44" s="4" t="s">
        <v>8</v>
      </c>
      <c r="D44" t="s">
        <v>14</v>
      </c>
      <c r="E44" s="11">
        <v>95</v>
      </c>
      <c r="F44" s="1">
        <v>18</v>
      </c>
    </row>
    <row r="45" spans="1:6" x14ac:dyDescent="0.25">
      <c r="A45" t="s">
        <v>59</v>
      </c>
      <c r="B45" s="3">
        <v>46327</v>
      </c>
      <c r="C45" s="4" t="s">
        <v>10</v>
      </c>
      <c r="D45" t="s">
        <v>13</v>
      </c>
      <c r="E45" s="11">
        <v>91</v>
      </c>
      <c r="F45" s="1">
        <v>15</v>
      </c>
    </row>
    <row r="46" spans="1:6" x14ac:dyDescent="0.25">
      <c r="A46" t="s">
        <v>60</v>
      </c>
      <c r="B46" s="3">
        <v>46083</v>
      </c>
      <c r="C46" s="4" t="s">
        <v>10</v>
      </c>
      <c r="D46" t="s">
        <v>13</v>
      </c>
      <c r="E46" s="11">
        <v>41</v>
      </c>
      <c r="F46" s="1">
        <v>15</v>
      </c>
    </row>
    <row r="47" spans="1:6" x14ac:dyDescent="0.25">
      <c r="A47" t="s">
        <v>61</v>
      </c>
      <c r="B47" s="3">
        <v>46191</v>
      </c>
      <c r="C47" s="4" t="s">
        <v>10</v>
      </c>
      <c r="D47" t="s">
        <v>14</v>
      </c>
      <c r="E47" s="11">
        <v>55</v>
      </c>
      <c r="F47" s="1">
        <v>18</v>
      </c>
    </row>
    <row r="48" spans="1:6" x14ac:dyDescent="0.25">
      <c r="A48" t="s">
        <v>62</v>
      </c>
      <c r="B48" s="3">
        <v>46363</v>
      </c>
      <c r="C48" s="4" t="s">
        <v>8</v>
      </c>
      <c r="D48" t="s">
        <v>14</v>
      </c>
      <c r="E48" s="11">
        <v>75</v>
      </c>
      <c r="F48" s="1">
        <v>18</v>
      </c>
    </row>
    <row r="49" spans="1:6" x14ac:dyDescent="0.25">
      <c r="A49" t="s">
        <v>63</v>
      </c>
      <c r="B49" s="3">
        <v>46048</v>
      </c>
      <c r="C49" s="4" t="s">
        <v>8</v>
      </c>
      <c r="D49" t="s">
        <v>13</v>
      </c>
      <c r="E49" s="11">
        <v>93</v>
      </c>
      <c r="F49" s="1">
        <v>15</v>
      </c>
    </row>
    <row r="50" spans="1:6" x14ac:dyDescent="0.25">
      <c r="A50" t="s">
        <v>64</v>
      </c>
      <c r="B50" s="3">
        <v>46132</v>
      </c>
      <c r="C50" s="4" t="s">
        <v>11</v>
      </c>
      <c r="D50" t="s">
        <v>14</v>
      </c>
      <c r="E50" s="11">
        <v>46</v>
      </c>
      <c r="F50" s="1">
        <v>18</v>
      </c>
    </row>
    <row r="51" spans="1:6" x14ac:dyDescent="0.25">
      <c r="A51" t="s">
        <v>65</v>
      </c>
      <c r="B51" s="3">
        <v>46202</v>
      </c>
      <c r="C51" s="4" t="s">
        <v>9</v>
      </c>
      <c r="D51" t="s">
        <v>13</v>
      </c>
      <c r="E51" s="11">
        <v>72</v>
      </c>
      <c r="F51" s="1">
        <v>15</v>
      </c>
    </row>
    <row r="52" spans="1:6" x14ac:dyDescent="0.25">
      <c r="A52" t="s">
        <v>66</v>
      </c>
      <c r="B52" s="3">
        <v>46094</v>
      </c>
      <c r="C52" s="4" t="s">
        <v>8</v>
      </c>
      <c r="D52" t="s">
        <v>14</v>
      </c>
      <c r="E52" s="11">
        <v>78</v>
      </c>
      <c r="F52" s="1">
        <v>18</v>
      </c>
    </row>
    <row r="53" spans="1:6" x14ac:dyDescent="0.25">
      <c r="A53" t="s">
        <v>67</v>
      </c>
      <c r="B53" s="3">
        <v>46053</v>
      </c>
      <c r="C53" s="4" t="s">
        <v>9</v>
      </c>
      <c r="D53" t="s">
        <v>15</v>
      </c>
      <c r="E53" s="11">
        <v>12</v>
      </c>
      <c r="F53" s="1">
        <v>22</v>
      </c>
    </row>
    <row r="54" spans="1:6" x14ac:dyDescent="0.25">
      <c r="A54" t="s">
        <v>68</v>
      </c>
      <c r="B54" s="3">
        <v>46318</v>
      </c>
      <c r="C54" s="4" t="s">
        <v>11</v>
      </c>
      <c r="D54" t="s">
        <v>13</v>
      </c>
      <c r="E54" s="11">
        <v>53</v>
      </c>
      <c r="F54" s="1">
        <v>15</v>
      </c>
    </row>
    <row r="55" spans="1:6" x14ac:dyDescent="0.25">
      <c r="A55" t="s">
        <v>69</v>
      </c>
      <c r="B55" s="3">
        <v>46098</v>
      </c>
      <c r="C55" s="4" t="s">
        <v>10</v>
      </c>
      <c r="D55" t="s">
        <v>15</v>
      </c>
      <c r="E55" s="11">
        <v>67</v>
      </c>
      <c r="F55" s="1">
        <v>22</v>
      </c>
    </row>
    <row r="56" spans="1:6" x14ac:dyDescent="0.25">
      <c r="A56" t="s">
        <v>70</v>
      </c>
      <c r="B56" s="3">
        <v>46195</v>
      </c>
      <c r="C56" s="4" t="s">
        <v>11</v>
      </c>
      <c r="D56" t="s">
        <v>15</v>
      </c>
      <c r="E56" s="11">
        <v>20</v>
      </c>
      <c r="F56" s="1">
        <v>22</v>
      </c>
    </row>
    <row r="57" spans="1:6" x14ac:dyDescent="0.25">
      <c r="A57" t="s">
        <v>71</v>
      </c>
      <c r="B57" s="3">
        <v>46163</v>
      </c>
      <c r="C57" s="4" t="s">
        <v>11</v>
      </c>
      <c r="D57" t="s">
        <v>13</v>
      </c>
      <c r="E57" s="11">
        <v>43</v>
      </c>
      <c r="F57" s="1">
        <v>15</v>
      </c>
    </row>
    <row r="58" spans="1:6" x14ac:dyDescent="0.25">
      <c r="A58" t="s">
        <v>72</v>
      </c>
      <c r="B58" s="3">
        <v>46293</v>
      </c>
      <c r="C58" s="4" t="s">
        <v>10</v>
      </c>
      <c r="D58" t="s">
        <v>14</v>
      </c>
      <c r="E58" s="11">
        <v>29</v>
      </c>
      <c r="F58" s="1">
        <v>18</v>
      </c>
    </row>
    <row r="59" spans="1:6" x14ac:dyDescent="0.25">
      <c r="A59" t="s">
        <v>73</v>
      </c>
      <c r="B59" s="3">
        <v>46081</v>
      </c>
      <c r="C59" s="4" t="s">
        <v>11</v>
      </c>
      <c r="D59" t="s">
        <v>13</v>
      </c>
      <c r="E59" s="11">
        <v>82</v>
      </c>
      <c r="F59" s="1">
        <v>15</v>
      </c>
    </row>
    <row r="60" spans="1:6" x14ac:dyDescent="0.25">
      <c r="A60" t="s">
        <v>74</v>
      </c>
      <c r="B60" s="3">
        <v>46177</v>
      </c>
      <c r="C60" s="4" t="s">
        <v>9</v>
      </c>
      <c r="D60" t="s">
        <v>15</v>
      </c>
      <c r="E60" s="11">
        <v>29</v>
      </c>
      <c r="F60" s="1">
        <v>22</v>
      </c>
    </row>
    <row r="61" spans="1:6" x14ac:dyDescent="0.25">
      <c r="A61" t="s">
        <v>75</v>
      </c>
      <c r="B61" s="3">
        <v>46326</v>
      </c>
      <c r="C61" s="4" t="s">
        <v>8</v>
      </c>
      <c r="D61" t="s">
        <v>13</v>
      </c>
      <c r="E61" s="11">
        <v>46</v>
      </c>
      <c r="F61" s="1">
        <v>15</v>
      </c>
    </row>
    <row r="62" spans="1:6" x14ac:dyDescent="0.25">
      <c r="A62" t="s">
        <v>76</v>
      </c>
      <c r="B62" s="3">
        <v>46365</v>
      </c>
      <c r="C62" s="4" t="s">
        <v>10</v>
      </c>
      <c r="D62" t="s">
        <v>14</v>
      </c>
      <c r="E62" s="11">
        <v>49</v>
      </c>
      <c r="F62" s="1">
        <v>18</v>
      </c>
    </row>
    <row r="63" spans="1:6" x14ac:dyDescent="0.25">
      <c r="A63" t="s">
        <v>77</v>
      </c>
      <c r="B63" s="3">
        <v>46378</v>
      </c>
      <c r="C63" s="4" t="s">
        <v>11</v>
      </c>
      <c r="D63" t="s">
        <v>14</v>
      </c>
      <c r="E63" s="11">
        <v>94</v>
      </c>
      <c r="F63" s="1">
        <v>18</v>
      </c>
    </row>
    <row r="64" spans="1:6" x14ac:dyDescent="0.25">
      <c r="A64" t="s">
        <v>78</v>
      </c>
      <c r="B64" s="3">
        <v>46236</v>
      </c>
      <c r="C64" s="4" t="s">
        <v>9</v>
      </c>
      <c r="D64" t="s">
        <v>14</v>
      </c>
      <c r="E64" s="11">
        <v>21</v>
      </c>
      <c r="F64" s="1">
        <v>18</v>
      </c>
    </row>
    <row r="65" spans="1:6" x14ac:dyDescent="0.25">
      <c r="A65" t="s">
        <v>79</v>
      </c>
      <c r="B65" s="3">
        <v>46220</v>
      </c>
      <c r="C65" s="4" t="s">
        <v>9</v>
      </c>
      <c r="D65" t="s">
        <v>14</v>
      </c>
      <c r="E65" s="11">
        <v>51</v>
      </c>
      <c r="F65" s="1">
        <v>18</v>
      </c>
    </row>
    <row r="66" spans="1:6" x14ac:dyDescent="0.25">
      <c r="A66" t="s">
        <v>80</v>
      </c>
      <c r="B66" s="3">
        <v>46159</v>
      </c>
      <c r="C66" s="4" t="s">
        <v>8</v>
      </c>
      <c r="D66" t="s">
        <v>15</v>
      </c>
      <c r="E66" s="11">
        <v>12</v>
      </c>
      <c r="F66" s="1">
        <v>22</v>
      </c>
    </row>
    <row r="67" spans="1:6" x14ac:dyDescent="0.25">
      <c r="A67" t="s">
        <v>81</v>
      </c>
      <c r="B67" s="3">
        <v>46118</v>
      </c>
      <c r="C67" s="4" t="s">
        <v>11</v>
      </c>
      <c r="D67" t="s">
        <v>15</v>
      </c>
      <c r="E67" s="11">
        <v>59</v>
      </c>
      <c r="F67" s="1">
        <v>22</v>
      </c>
    </row>
    <row r="68" spans="1:6" x14ac:dyDescent="0.25">
      <c r="A68" t="s">
        <v>82</v>
      </c>
      <c r="B68" s="3">
        <v>46386</v>
      </c>
      <c r="C68" s="4" t="s">
        <v>9</v>
      </c>
      <c r="D68" t="s">
        <v>14</v>
      </c>
      <c r="E68" s="11">
        <v>14</v>
      </c>
      <c r="F68" s="1">
        <v>18</v>
      </c>
    </row>
    <row r="69" spans="1:6" x14ac:dyDescent="0.25">
      <c r="A69" t="s">
        <v>83</v>
      </c>
      <c r="B69" s="3">
        <v>46092</v>
      </c>
      <c r="C69" s="4" t="s">
        <v>9</v>
      </c>
      <c r="D69" t="s">
        <v>13</v>
      </c>
      <c r="E69" s="11">
        <v>11</v>
      </c>
      <c r="F69" s="1">
        <v>15</v>
      </c>
    </row>
    <row r="70" spans="1:6" x14ac:dyDescent="0.25">
      <c r="A70" t="s">
        <v>84</v>
      </c>
      <c r="B70" s="3">
        <v>46232</v>
      </c>
      <c r="C70" s="4" t="s">
        <v>8</v>
      </c>
      <c r="D70" t="s">
        <v>13</v>
      </c>
      <c r="E70" s="11">
        <v>69</v>
      </c>
      <c r="F70" s="1">
        <v>15</v>
      </c>
    </row>
    <row r="71" spans="1:6" x14ac:dyDescent="0.25">
      <c r="A71" t="s">
        <v>85</v>
      </c>
      <c r="B71" s="3">
        <v>46257</v>
      </c>
      <c r="C71" s="4" t="s">
        <v>10</v>
      </c>
      <c r="D71" t="s">
        <v>15</v>
      </c>
      <c r="E71" s="11">
        <v>37</v>
      </c>
      <c r="F71" s="1">
        <v>22</v>
      </c>
    </row>
    <row r="72" spans="1:6" x14ac:dyDescent="0.25">
      <c r="A72" t="s">
        <v>86</v>
      </c>
      <c r="B72" s="3">
        <v>46142</v>
      </c>
      <c r="C72" s="4" t="s">
        <v>9</v>
      </c>
      <c r="D72" t="s">
        <v>15</v>
      </c>
      <c r="E72" s="11">
        <v>52</v>
      </c>
      <c r="F72" s="1">
        <v>22</v>
      </c>
    </row>
    <row r="73" spans="1:6" x14ac:dyDescent="0.25">
      <c r="A73" t="s">
        <v>87</v>
      </c>
      <c r="B73" s="3">
        <v>46264</v>
      </c>
      <c r="C73" s="4" t="s">
        <v>8</v>
      </c>
      <c r="D73" t="s">
        <v>13</v>
      </c>
      <c r="E73" s="11">
        <v>78</v>
      </c>
      <c r="F73" s="1">
        <v>15</v>
      </c>
    </row>
    <row r="74" spans="1:6" x14ac:dyDescent="0.25">
      <c r="A74" t="s">
        <v>88</v>
      </c>
      <c r="B74" s="3">
        <v>46113</v>
      </c>
      <c r="C74" s="4" t="s">
        <v>11</v>
      </c>
      <c r="D74" t="s">
        <v>13</v>
      </c>
      <c r="E74" s="11">
        <v>94</v>
      </c>
      <c r="F74" s="1">
        <v>15</v>
      </c>
    </row>
    <row r="75" spans="1:6" x14ac:dyDescent="0.25">
      <c r="A75" t="s">
        <v>89</v>
      </c>
      <c r="B75" s="3">
        <v>46087</v>
      </c>
      <c r="C75" s="4" t="s">
        <v>11</v>
      </c>
      <c r="D75" t="s">
        <v>15</v>
      </c>
      <c r="E75" s="11">
        <v>37</v>
      </c>
      <c r="F75" s="1">
        <v>22</v>
      </c>
    </row>
    <row r="76" spans="1:6" x14ac:dyDescent="0.25">
      <c r="A76" t="s">
        <v>90</v>
      </c>
      <c r="B76" s="3">
        <v>46150</v>
      </c>
      <c r="C76" s="4" t="s">
        <v>11</v>
      </c>
      <c r="D76" t="s">
        <v>15</v>
      </c>
      <c r="E76" s="11">
        <v>40</v>
      </c>
      <c r="F76" s="1">
        <v>22</v>
      </c>
    </row>
    <row r="77" spans="1:6" x14ac:dyDescent="0.25">
      <c r="A77" t="s">
        <v>91</v>
      </c>
      <c r="B77" s="3">
        <v>46050</v>
      </c>
      <c r="C77" s="4" t="s">
        <v>10</v>
      </c>
      <c r="D77" t="s">
        <v>13</v>
      </c>
      <c r="E77" s="11">
        <v>93</v>
      </c>
      <c r="F77" s="1">
        <v>15</v>
      </c>
    </row>
    <row r="78" spans="1:6" x14ac:dyDescent="0.25">
      <c r="A78" t="s">
        <v>92</v>
      </c>
      <c r="B78" s="3">
        <v>46159</v>
      </c>
      <c r="C78" s="4" t="s">
        <v>8</v>
      </c>
      <c r="D78" t="s">
        <v>15</v>
      </c>
      <c r="E78" s="11">
        <v>69</v>
      </c>
      <c r="F78" s="1">
        <v>22</v>
      </c>
    </row>
    <row r="79" spans="1:6" x14ac:dyDescent="0.25">
      <c r="A79" t="s">
        <v>93</v>
      </c>
      <c r="B79" s="3">
        <v>46349</v>
      </c>
      <c r="C79" s="4" t="s">
        <v>10</v>
      </c>
      <c r="D79" t="s">
        <v>13</v>
      </c>
      <c r="E79" s="11">
        <v>26</v>
      </c>
      <c r="F79" s="1">
        <v>15</v>
      </c>
    </row>
    <row r="80" spans="1:6" x14ac:dyDescent="0.25">
      <c r="A80" t="s">
        <v>94</v>
      </c>
      <c r="B80" s="3">
        <v>46368</v>
      </c>
      <c r="C80" s="4" t="s">
        <v>11</v>
      </c>
      <c r="D80" t="s">
        <v>15</v>
      </c>
      <c r="E80" s="11">
        <v>39</v>
      </c>
      <c r="F80" s="1">
        <v>22</v>
      </c>
    </row>
    <row r="81" spans="1:6" x14ac:dyDescent="0.25">
      <c r="A81" t="s">
        <v>95</v>
      </c>
      <c r="B81" s="3">
        <v>46157</v>
      </c>
      <c r="C81" s="4" t="s">
        <v>9</v>
      </c>
      <c r="D81" t="s">
        <v>15</v>
      </c>
      <c r="E81" s="11">
        <v>93</v>
      </c>
      <c r="F81" s="1">
        <v>22</v>
      </c>
    </row>
    <row r="82" spans="1:6" x14ac:dyDescent="0.25">
      <c r="A82" t="s">
        <v>96</v>
      </c>
      <c r="B82" s="3">
        <v>46283</v>
      </c>
      <c r="C82" s="4" t="s">
        <v>8</v>
      </c>
      <c r="D82" t="s">
        <v>14</v>
      </c>
      <c r="E82" s="11">
        <v>39</v>
      </c>
      <c r="F82" s="1">
        <v>18</v>
      </c>
    </row>
    <row r="83" spans="1:6" x14ac:dyDescent="0.25">
      <c r="A83" t="s">
        <v>97</v>
      </c>
      <c r="B83" s="3">
        <v>46315</v>
      </c>
      <c r="C83" s="4" t="s">
        <v>11</v>
      </c>
      <c r="D83" t="s">
        <v>13</v>
      </c>
      <c r="E83" s="11">
        <v>44</v>
      </c>
      <c r="F83" s="1">
        <v>15</v>
      </c>
    </row>
    <row r="84" spans="1:6" x14ac:dyDescent="0.25">
      <c r="A84" t="s">
        <v>98</v>
      </c>
      <c r="B84" s="3">
        <v>46036</v>
      </c>
      <c r="C84" s="4" t="s">
        <v>9</v>
      </c>
      <c r="D84" t="s">
        <v>14</v>
      </c>
      <c r="E84" s="11">
        <v>12</v>
      </c>
      <c r="F84" s="1">
        <v>18</v>
      </c>
    </row>
    <row r="85" spans="1:6" x14ac:dyDescent="0.25">
      <c r="A85" t="s">
        <v>99</v>
      </c>
      <c r="B85" s="3">
        <v>46113</v>
      </c>
      <c r="C85" s="4" t="s">
        <v>11</v>
      </c>
      <c r="D85" t="s">
        <v>14</v>
      </c>
      <c r="E85" s="11">
        <v>92</v>
      </c>
      <c r="F85" s="1">
        <v>18</v>
      </c>
    </row>
    <row r="86" spans="1:6" x14ac:dyDescent="0.25">
      <c r="A86" t="s">
        <v>38</v>
      </c>
      <c r="B86" s="3">
        <v>46169</v>
      </c>
      <c r="C86" s="4" t="s">
        <v>11</v>
      </c>
      <c r="D86" t="s">
        <v>14</v>
      </c>
      <c r="E86" s="11">
        <v>92</v>
      </c>
      <c r="F86" s="1">
        <v>18</v>
      </c>
    </row>
    <row r="87" spans="1:6" x14ac:dyDescent="0.25">
      <c r="A87" t="s">
        <v>100</v>
      </c>
      <c r="B87" s="3">
        <v>46235</v>
      </c>
      <c r="C87" s="4" t="s">
        <v>11</v>
      </c>
      <c r="D87" t="s">
        <v>13</v>
      </c>
      <c r="E87" s="11">
        <v>98</v>
      </c>
      <c r="F87" s="1">
        <v>15</v>
      </c>
    </row>
    <row r="88" spans="1:6" x14ac:dyDescent="0.25">
      <c r="A88" t="s">
        <v>101</v>
      </c>
      <c r="B88" s="3">
        <v>46190</v>
      </c>
      <c r="C88" s="4" t="s">
        <v>10</v>
      </c>
      <c r="D88" t="s">
        <v>14</v>
      </c>
      <c r="E88" s="11">
        <v>50</v>
      </c>
      <c r="F88" s="1">
        <v>18</v>
      </c>
    </row>
    <row r="89" spans="1:6" x14ac:dyDescent="0.25">
      <c r="A89" t="s">
        <v>102</v>
      </c>
      <c r="B89" s="3">
        <v>46370</v>
      </c>
      <c r="C89" s="4" t="s">
        <v>11</v>
      </c>
      <c r="D89" t="s">
        <v>15</v>
      </c>
      <c r="E89" s="11">
        <v>77</v>
      </c>
      <c r="F89" s="1">
        <v>22</v>
      </c>
    </row>
    <row r="90" spans="1:6" x14ac:dyDescent="0.25">
      <c r="A90" t="s">
        <v>103</v>
      </c>
      <c r="B90" s="3">
        <v>46164</v>
      </c>
      <c r="C90" s="4" t="s">
        <v>10</v>
      </c>
      <c r="D90" t="s">
        <v>14</v>
      </c>
      <c r="E90" s="11">
        <v>89</v>
      </c>
      <c r="F90" s="1">
        <v>18</v>
      </c>
    </row>
    <row r="91" spans="1:6" x14ac:dyDescent="0.25">
      <c r="A91" t="s">
        <v>104</v>
      </c>
      <c r="B91" s="3">
        <v>46141</v>
      </c>
      <c r="C91" s="4" t="s">
        <v>8</v>
      </c>
      <c r="D91" t="s">
        <v>14</v>
      </c>
      <c r="E91" s="11">
        <v>52</v>
      </c>
      <c r="F91" s="1">
        <v>18</v>
      </c>
    </row>
  </sheetData>
  <dataValidations count="4">
    <dataValidation type="decimal" operator="greaterThan" allowBlank="1" showInputMessage="1" showErrorMessage="1" error="digit must be above than 1" sqref="F1:F1048576" xr:uid="{4400F067-9541-453F-910F-EBA1136CA89F}">
      <formula1>1</formula1>
    </dataValidation>
    <dataValidation type="whole" operator="greaterThan" allowBlank="1" showInputMessage="1" showErrorMessage="1" error="must be digit" sqref="E1:E1048576" xr:uid="{E97EE217-A1BA-4C4E-8AC6-9B3FEA5B310E}">
      <formula1>0</formula1>
    </dataValidation>
    <dataValidation allowBlank="1" showInputMessage="1" showErrorMessage="1" prompt="Must be a text" sqref="C1:D1048576" xr:uid="{82EE1670-8EF4-4AA6-A525-CAA33A49CFCF}"/>
    <dataValidation type="date" operator="equal" allowBlank="1" showInputMessage="1" showErrorMessage="1" error="Please enter a valid date" sqref="B1:B1048576" xr:uid="{1768B32E-CC19-4F27-AA2A-47E08793AC42}">
      <formula1>TODAY()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9DFDCA91-9491-44A1-94E5-0F102B958734}">
  <ds:schemaRefs/>
</ds:datastoreItem>
</file>

<file path=customXml/itemProps2.xml><?xml version="1.0" encoding="utf-8"?>
<ds:datastoreItem xmlns:ds="http://schemas.openxmlformats.org/officeDocument/2006/customXml" ds:itemID="{9EB82422-05B1-4876-B12A-8030E7DF4962}">
  <ds:schemaRefs/>
</ds:datastoreItem>
</file>

<file path=customXml/itemProps3.xml><?xml version="1.0" encoding="utf-8"?>
<ds:datastoreItem xmlns:ds="http://schemas.openxmlformats.org/officeDocument/2006/customXml" ds:itemID="{5350DC72-A75F-4B1B-BE49-8A5966A92DCF}">
  <ds:schemaRefs/>
</ds:datastoreItem>
</file>

<file path=customXml/itemProps4.xml><?xml version="1.0" encoding="utf-8"?>
<ds:datastoreItem xmlns:ds="http://schemas.openxmlformats.org/officeDocument/2006/customXml" ds:itemID="{84439572-7FB3-4C8A-BC5D-94F28335D290}">
  <ds:schemaRefs/>
</ds:datastoreItem>
</file>

<file path=customXml/itemProps5.xml><?xml version="1.0" encoding="utf-8"?>
<ds:datastoreItem xmlns:ds="http://schemas.openxmlformats.org/officeDocument/2006/customXml" ds:itemID="{2BCA4144-22E8-4A1D-96C2-BAD428BBBB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</vt:lpstr>
      <vt:lpstr>DATA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Ullah</dc:creator>
  <cp:lastModifiedBy>Sami Ullah</cp:lastModifiedBy>
  <cp:lastPrinted>2026-09-26T19:25:57Z</cp:lastPrinted>
  <dcterms:created xsi:type="dcterms:W3CDTF">2026-09-24T19:37:27Z</dcterms:created>
  <dcterms:modified xsi:type="dcterms:W3CDTF">2026-09-26T19:53:22Z</dcterms:modified>
</cp:coreProperties>
</file>